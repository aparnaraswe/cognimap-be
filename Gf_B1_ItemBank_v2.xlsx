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f_B1_Items" sheetId="1" state="visible" r:id="rId1"/>
    <sheet xmlns:r="http://schemas.openxmlformats.org/officeDocument/2006/relationships" name="Summary_Distribution" sheetId="2" state="visible" r:id="rId2"/>
    <sheet xmlns:r="http://schemas.openxmlformats.org/officeDocument/2006/relationships" name="Metadata_Lege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color rgb="001E3A8A"/>
      <sz val="10"/>
    </font>
    <font>
      <name val="Arial"/>
      <color rgb="000F172A"/>
      <sz val="10"/>
    </font>
    <font>
      <name val="Arial"/>
      <b val="1"/>
      <color rgb="0016A34A"/>
      <sz val="10"/>
    </font>
    <font>
      <name val="Arial"/>
      <color rgb="00374151"/>
      <sz val="10"/>
    </font>
    <font>
      <name val="Arial"/>
      <i val="1"/>
      <color rgb="00CBD5E1"/>
      <sz val="10"/>
    </font>
    <font>
      <name val="Arial"/>
      <i val="1"/>
      <color rgb="000F172A"/>
      <sz val="10"/>
    </font>
    <font>
      <name val="Arial"/>
      <color rgb="001F2937"/>
      <sz val="10"/>
    </font>
    <font>
      <name val="Arial"/>
      <b val="1"/>
      <color rgb="0016A34A"/>
      <sz val="11"/>
    </font>
    <font>
      <name val="Arial"/>
      <b val="1"/>
      <color rgb="000F172A"/>
      <sz val="10"/>
    </font>
    <font>
      <name val="Arial"/>
      <i val="1"/>
      <color rgb="00CBD5E1"/>
      <sz val="9"/>
    </font>
    <font>
      <name val="Arial"/>
      <i val="1"/>
      <color rgb="00374151"/>
      <sz val="9"/>
    </font>
    <font>
      <name val="Arial"/>
      <b val="1"/>
      <color rgb="002563EB"/>
      <sz val="11"/>
    </font>
    <font>
      <name val="Arial"/>
      <i val="1"/>
      <color rgb="0016A34A"/>
      <sz val="9"/>
    </font>
    <font>
      <name val="Arial"/>
      <b val="1"/>
      <color rgb="00D97706"/>
      <sz val="11"/>
    </font>
    <font>
      <name val="Arial"/>
      <i val="1"/>
      <color rgb="00D97706"/>
      <sz val="9"/>
    </font>
    <font>
      <name val="Arial"/>
      <i val="1"/>
      <color rgb="007C3AED"/>
      <sz val="9"/>
    </font>
    <font>
      <name val="Arial"/>
      <b val="1"/>
      <color rgb="00D97706"/>
      <sz val="10"/>
    </font>
    <font>
      <name val="Arial"/>
      <i val="1"/>
      <color rgb="00DC2626"/>
      <sz val="9"/>
    </font>
    <font>
      <name val="Arial"/>
      <b val="1"/>
      <color rgb="00DC2626"/>
      <sz val="10"/>
    </font>
    <font>
      <name val="Arial"/>
      <color rgb="000F172A"/>
      <sz val="9"/>
    </font>
    <font>
      <name val="Arial"/>
      <b val="1"/>
      <color rgb="00FFFFFF"/>
      <sz val="14"/>
    </font>
    <font>
      <name val="Arial"/>
      <b val="1"/>
      <color rgb="001E3A8A"/>
      <sz val="11"/>
    </font>
    <font>
      <name val="Arial"/>
      <color rgb="001E3A8A"/>
      <sz val="10"/>
    </font>
  </fonts>
  <fills count="12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2563EB"/>
      </patternFill>
    </fill>
    <fill>
      <patternFill patternType="solid">
        <fgColor rgb="00DBEAFE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FEF3C7"/>
      </patternFill>
    </fill>
    <fill>
      <patternFill patternType="solid">
        <fgColor rgb="00F3E8FF"/>
      </patternFill>
    </fill>
    <fill>
      <patternFill patternType="solid">
        <fgColor rgb="00FEE2E2"/>
      </patternFill>
    </fill>
    <fill>
      <patternFill patternType="solid">
        <fgColor rgb="00DCFCE7"/>
      </patternFill>
    </fill>
    <fill>
      <patternFill patternType="solid">
        <fgColor rgb="00EFF6FF"/>
      </patternFill>
    </fill>
  </fills>
  <borders count="4">
    <border>
      <left/>
      <right/>
      <top/>
      <bottom/>
      <diagonal/>
    </border>
    <border>
      <left style="thin">
        <color rgb="001E3A8A"/>
      </left>
      <right style="thin">
        <color rgb="001E3A8A"/>
      </right>
      <top style="thin">
        <color rgb="001E3A8A"/>
      </top>
      <bottom style="thin">
        <color rgb="001E3A8A"/>
      </bottom>
    </border>
    <border>
      <left style="thin">
        <color rgb="002563EB"/>
      </left>
      <right style="thin">
        <color rgb="002563EB"/>
      </right>
      <top style="thin">
        <color rgb="002563EB"/>
      </top>
      <bottom style="thin">
        <color rgb="002563EB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2" applyAlignment="1" pivotButton="0" quotePrefix="0" xfId="0">
      <alignment horizontal="left" vertical="center"/>
    </xf>
    <xf numFmtId="0" fontId="3" fillId="5" borderId="3" pivotButton="0" quotePrefix="0" xfId="0"/>
    <xf numFmtId="0" fontId="4" fillId="5" borderId="3" applyAlignment="1" pivotButton="0" quotePrefix="0" xfId="0">
      <alignment horizontal="left" vertical="center" wrapText="1"/>
    </xf>
    <xf numFmtId="0" fontId="5" fillId="5" borderId="3" applyAlignment="1" pivotButton="0" quotePrefix="0" xfId="0">
      <alignment horizontal="center" vertical="center"/>
    </xf>
    <xf numFmtId="0" fontId="6" fillId="5" borderId="3" applyAlignment="1" pivotButton="0" quotePrefix="0" xfId="0">
      <alignment horizontal="center" vertical="center"/>
    </xf>
    <xf numFmtId="0" fontId="7" fillId="5" borderId="3" applyAlignment="1" pivotButton="0" quotePrefix="0" xfId="0">
      <alignment horizontal="center" vertical="center"/>
    </xf>
    <xf numFmtId="0" fontId="8" fillId="5" borderId="3" applyAlignment="1" pivotButton="0" quotePrefix="0" xfId="0">
      <alignment horizontal="center" vertical="center"/>
    </xf>
    <xf numFmtId="0" fontId="9" fillId="5" borderId="3" applyAlignment="1" pivotButton="0" quotePrefix="0" xfId="0">
      <alignment horizontal="left" vertical="center" wrapText="1"/>
    </xf>
    <xf numFmtId="0" fontId="10" fillId="5" borderId="3" applyAlignment="1" pivotButton="0" quotePrefix="0" xfId="0">
      <alignment horizontal="center" vertical="center"/>
    </xf>
    <xf numFmtId="0" fontId="11" fillId="5" borderId="3" applyAlignment="1" pivotButton="0" quotePrefix="0" xfId="0">
      <alignment horizontal="center" vertical="center"/>
    </xf>
    <xf numFmtId="0" fontId="12" fillId="5" borderId="3" applyAlignment="1" pivotButton="0" quotePrefix="0" xfId="0">
      <alignment horizontal="left" vertical="center" wrapText="1"/>
    </xf>
    <xf numFmtId="0" fontId="13" fillId="5" borderId="3" applyAlignment="1" pivotButton="0" quotePrefix="0" xfId="0">
      <alignment horizontal="left" vertical="center" wrapText="1"/>
    </xf>
    <xf numFmtId="0" fontId="3" fillId="6" borderId="3" pivotButton="0" quotePrefix="0" xfId="0"/>
    <xf numFmtId="0" fontId="4" fillId="6" borderId="3" applyAlignment="1" pivotButton="0" quotePrefix="0" xfId="0">
      <alignment horizontal="left" vertical="center" wrapText="1"/>
    </xf>
    <xf numFmtId="0" fontId="5" fillId="6" borderId="3" applyAlignment="1" pivotButton="0" quotePrefix="0" xfId="0">
      <alignment horizontal="center" vertical="center"/>
    </xf>
    <xf numFmtId="0" fontId="6" fillId="6" borderId="3" applyAlignment="1" pivotButton="0" quotePrefix="0" xfId="0">
      <alignment horizontal="center" vertical="center"/>
    </xf>
    <xf numFmtId="0" fontId="7" fillId="6" borderId="3" applyAlignment="1" pivotButton="0" quotePrefix="0" xfId="0">
      <alignment horizontal="center" vertical="center"/>
    </xf>
    <xf numFmtId="0" fontId="8" fillId="6" borderId="3" applyAlignment="1" pivotButton="0" quotePrefix="0" xfId="0">
      <alignment horizontal="center" vertical="center"/>
    </xf>
    <xf numFmtId="0" fontId="9" fillId="6" borderId="3" applyAlignment="1" pivotButton="0" quotePrefix="0" xfId="0">
      <alignment horizontal="left" vertical="center" wrapText="1"/>
    </xf>
    <xf numFmtId="0" fontId="10" fillId="6" borderId="3" applyAlignment="1" pivotButton="0" quotePrefix="0" xfId="0">
      <alignment horizontal="center" vertical="center"/>
    </xf>
    <xf numFmtId="0" fontId="11" fillId="6" borderId="3" applyAlignment="1" pivotButton="0" quotePrefix="0" xfId="0">
      <alignment horizontal="center" vertical="center"/>
    </xf>
    <xf numFmtId="0" fontId="12" fillId="6" borderId="3" applyAlignment="1" pivotButton="0" quotePrefix="0" xfId="0">
      <alignment horizontal="left" vertical="center" wrapText="1"/>
    </xf>
    <xf numFmtId="0" fontId="13" fillId="6" borderId="3" applyAlignment="1" pivotButton="0" quotePrefix="0" xfId="0">
      <alignment horizontal="left" vertical="center" wrapText="1"/>
    </xf>
    <xf numFmtId="0" fontId="14" fillId="5" borderId="3" applyAlignment="1" pivotButton="0" quotePrefix="0" xfId="0">
      <alignment horizontal="center" vertical="center"/>
    </xf>
    <xf numFmtId="0" fontId="15" fillId="5" borderId="3" applyAlignment="1" pivotButton="0" quotePrefix="0" xfId="0">
      <alignment horizontal="left" vertical="center" wrapText="1"/>
    </xf>
    <xf numFmtId="0" fontId="14" fillId="6" borderId="3" applyAlignment="1" pivotButton="0" quotePrefix="0" xfId="0">
      <alignment horizontal="center" vertical="center"/>
    </xf>
    <xf numFmtId="0" fontId="15" fillId="6" borderId="3" applyAlignment="1" pivotButton="0" quotePrefix="0" xfId="0">
      <alignment horizontal="left" vertical="center" wrapText="1"/>
    </xf>
    <xf numFmtId="0" fontId="16" fillId="6" borderId="3" applyAlignment="1" pivotButton="0" quotePrefix="0" xfId="0">
      <alignment horizontal="center" vertical="center"/>
    </xf>
    <xf numFmtId="0" fontId="3" fillId="7" borderId="3" pivotButton="0" quotePrefix="0" xfId="0"/>
    <xf numFmtId="0" fontId="4" fillId="7" borderId="3" applyAlignment="1" pivotButton="0" quotePrefix="0" xfId="0">
      <alignment horizontal="left" vertical="center" wrapText="1"/>
    </xf>
    <xf numFmtId="0" fontId="5" fillId="7" borderId="3" applyAlignment="1" pivotButton="0" quotePrefix="0" xfId="0">
      <alignment horizontal="center" vertical="center"/>
    </xf>
    <xf numFmtId="0" fontId="6" fillId="7" borderId="3" applyAlignment="1" pivotButton="0" quotePrefix="0" xfId="0">
      <alignment horizontal="center" vertical="center"/>
    </xf>
    <xf numFmtId="0" fontId="7" fillId="7" borderId="3" applyAlignment="1" pivotButton="0" quotePrefix="0" xfId="0">
      <alignment horizontal="center" vertical="center"/>
    </xf>
    <xf numFmtId="0" fontId="9" fillId="7" borderId="3" applyAlignment="1" pivotButton="0" quotePrefix="0" xfId="0">
      <alignment horizontal="left" vertical="center" wrapText="1"/>
    </xf>
    <xf numFmtId="0" fontId="16" fillId="7" borderId="3" applyAlignment="1" pivotButton="0" quotePrefix="0" xfId="0">
      <alignment horizontal="center" vertical="center"/>
    </xf>
    <xf numFmtId="0" fontId="11" fillId="7" borderId="3" applyAlignment="1" pivotButton="0" quotePrefix="0" xfId="0">
      <alignment horizontal="center" vertical="center"/>
    </xf>
    <xf numFmtId="0" fontId="17" fillId="7" borderId="3" applyAlignment="1" pivotButton="0" quotePrefix="0" xfId="0">
      <alignment horizontal="left" vertical="center" wrapText="1"/>
    </xf>
    <xf numFmtId="0" fontId="13" fillId="7" borderId="3" applyAlignment="1" pivotButton="0" quotePrefix="0" xfId="0">
      <alignment horizontal="left" vertical="center" wrapText="1"/>
    </xf>
    <xf numFmtId="0" fontId="3" fillId="8" borderId="3" pivotButton="0" quotePrefix="0" xfId="0"/>
    <xf numFmtId="0" fontId="4" fillId="8" borderId="3" applyAlignment="1" pivotButton="0" quotePrefix="0" xfId="0">
      <alignment horizontal="left" vertical="center" wrapText="1"/>
    </xf>
    <xf numFmtId="0" fontId="5" fillId="8" borderId="3" applyAlignment="1" pivotButton="0" quotePrefix="0" xfId="0">
      <alignment horizontal="center" vertical="center"/>
    </xf>
    <xf numFmtId="0" fontId="6" fillId="8" borderId="3" applyAlignment="1" pivotButton="0" quotePrefix="0" xfId="0">
      <alignment horizontal="center" vertical="center"/>
    </xf>
    <xf numFmtId="0" fontId="7" fillId="8" borderId="3" applyAlignment="1" pivotButton="0" quotePrefix="0" xfId="0">
      <alignment horizontal="center" vertical="center"/>
    </xf>
    <xf numFmtId="0" fontId="9" fillId="8" borderId="3" applyAlignment="1" pivotButton="0" quotePrefix="0" xfId="0">
      <alignment horizontal="left" vertical="center" wrapText="1"/>
    </xf>
    <xf numFmtId="0" fontId="16" fillId="8" borderId="3" applyAlignment="1" pivotButton="0" quotePrefix="0" xfId="0">
      <alignment horizontal="center" vertical="center"/>
    </xf>
    <xf numFmtId="0" fontId="11" fillId="8" borderId="3" applyAlignment="1" pivotButton="0" quotePrefix="0" xfId="0">
      <alignment horizontal="center" vertical="center"/>
    </xf>
    <xf numFmtId="0" fontId="18" fillId="8" borderId="3" applyAlignment="1" pivotButton="0" quotePrefix="0" xfId="0">
      <alignment horizontal="left" vertical="center" wrapText="1"/>
    </xf>
    <xf numFmtId="0" fontId="13" fillId="8" borderId="3" applyAlignment="1" pivotButton="0" quotePrefix="0" xfId="0">
      <alignment horizontal="left" vertical="center" wrapText="1"/>
    </xf>
    <xf numFmtId="0" fontId="14" fillId="7" borderId="3" applyAlignment="1" pivotButton="0" quotePrefix="0" xfId="0">
      <alignment horizontal="center" vertical="center"/>
    </xf>
    <xf numFmtId="0" fontId="18" fillId="6" borderId="3" applyAlignment="1" pivotButton="0" quotePrefix="0" xfId="0">
      <alignment horizontal="left" vertical="center" wrapText="1"/>
    </xf>
    <xf numFmtId="0" fontId="16" fillId="5" borderId="3" applyAlignment="1" pivotButton="0" quotePrefix="0" xfId="0">
      <alignment horizontal="center" vertical="center"/>
    </xf>
    <xf numFmtId="0" fontId="19" fillId="6" borderId="3" applyAlignment="1" pivotButton="0" quotePrefix="0" xfId="0">
      <alignment horizontal="center" vertical="center"/>
    </xf>
    <xf numFmtId="0" fontId="19" fillId="5" borderId="3" applyAlignment="1" pivotButton="0" quotePrefix="0" xfId="0">
      <alignment horizontal="center" vertical="center"/>
    </xf>
    <xf numFmtId="0" fontId="19" fillId="7" borderId="3" applyAlignment="1" pivotButton="0" quotePrefix="0" xfId="0">
      <alignment horizontal="center" vertical="center"/>
    </xf>
    <xf numFmtId="0" fontId="3" fillId="9" borderId="3" pivotButton="0" quotePrefix="0" xfId="0"/>
    <xf numFmtId="0" fontId="4" fillId="9" borderId="3" applyAlignment="1" pivotButton="0" quotePrefix="0" xfId="0">
      <alignment horizontal="left" vertical="center" wrapText="1"/>
    </xf>
    <xf numFmtId="0" fontId="19" fillId="9" borderId="3" applyAlignment="1" pivotButton="0" quotePrefix="0" xfId="0">
      <alignment horizontal="center" vertical="center"/>
    </xf>
    <xf numFmtId="0" fontId="6" fillId="9" borderId="3" applyAlignment="1" pivotButton="0" quotePrefix="0" xfId="0">
      <alignment horizontal="center" vertical="center"/>
    </xf>
    <xf numFmtId="0" fontId="7" fillId="9" borderId="3" applyAlignment="1" pivotButton="0" quotePrefix="0" xfId="0">
      <alignment horizontal="center" vertical="center"/>
    </xf>
    <xf numFmtId="0" fontId="9" fillId="9" borderId="3" applyAlignment="1" pivotButton="0" quotePrefix="0" xfId="0">
      <alignment horizontal="left" vertical="center" wrapText="1"/>
    </xf>
    <xf numFmtId="0" fontId="10" fillId="9" borderId="3" applyAlignment="1" pivotButton="0" quotePrefix="0" xfId="0">
      <alignment horizontal="center" vertical="center"/>
    </xf>
    <xf numFmtId="0" fontId="11" fillId="9" borderId="3" applyAlignment="1" pivotButton="0" quotePrefix="0" xfId="0">
      <alignment horizontal="center" vertical="center"/>
    </xf>
    <xf numFmtId="0" fontId="20" fillId="9" borderId="3" applyAlignment="1" pivotButton="0" quotePrefix="0" xfId="0">
      <alignment horizontal="left" vertical="center" wrapText="1"/>
    </xf>
    <xf numFmtId="0" fontId="13" fillId="9" borderId="3" applyAlignment="1" pivotButton="0" quotePrefix="0" xfId="0">
      <alignment horizontal="left" vertical="center" wrapText="1"/>
    </xf>
    <xf numFmtId="0" fontId="21" fillId="5" borderId="3" applyAlignment="1" pivotButton="0" quotePrefix="0" xfId="0">
      <alignment horizontal="center" vertical="center"/>
    </xf>
    <xf numFmtId="0" fontId="21" fillId="6" borderId="3" applyAlignment="1" pivotButton="0" quotePrefix="0" xfId="0">
      <alignment horizontal="center" vertical="center"/>
    </xf>
    <xf numFmtId="0" fontId="21" fillId="7" borderId="3" applyAlignment="1" pivotButton="0" quotePrefix="0" xfId="0">
      <alignment horizontal="center" vertical="center"/>
    </xf>
    <xf numFmtId="0" fontId="10" fillId="7" borderId="3" applyAlignment="1" pivotButton="0" quotePrefix="0" xfId="0">
      <alignment horizontal="center" vertical="center"/>
    </xf>
    <xf numFmtId="0" fontId="21" fillId="9" borderId="3" applyAlignment="1" pivotButton="0" quotePrefix="0" xfId="0">
      <alignment horizontal="center" vertical="center"/>
    </xf>
    <xf numFmtId="0" fontId="16" fillId="9" borderId="3" applyAlignment="1" pivotButton="0" quotePrefix="0" xfId="0">
      <alignment horizontal="center" vertical="center"/>
    </xf>
    <xf numFmtId="0" fontId="14" fillId="9" borderId="3" applyAlignment="1" pivotButton="0" quotePrefix="0" xfId="0">
      <alignment horizontal="center" vertical="center"/>
    </xf>
    <xf numFmtId="0" fontId="22" fillId="5" borderId="3" applyAlignment="1" pivotButton="0" quotePrefix="0" xfId="0">
      <alignment horizontal="left" vertical="center"/>
    </xf>
    <xf numFmtId="0" fontId="22" fillId="9" borderId="3" applyAlignment="1" pivotButton="0" quotePrefix="0" xfId="0">
      <alignment horizontal="left" vertical="center"/>
    </xf>
    <xf numFmtId="0" fontId="22" fillId="7" borderId="3" applyAlignment="1" pivotButton="0" quotePrefix="0" xfId="0">
      <alignment horizontal="left" vertical="center"/>
    </xf>
    <xf numFmtId="0" fontId="22" fillId="8" borderId="3" applyAlignment="1" pivotButton="0" quotePrefix="0" xfId="0">
      <alignment horizontal="left" vertical="center"/>
    </xf>
    <xf numFmtId="0" fontId="22" fillId="10" borderId="3" applyAlignment="1" pivotButton="0" quotePrefix="0" xfId="0">
      <alignment horizontal="left" vertical="center"/>
    </xf>
    <xf numFmtId="0" fontId="22" fillId="11" borderId="3" applyAlignment="1" pivotButton="0" quotePrefix="0" xfId="0">
      <alignment horizontal="left" vertical="center"/>
    </xf>
    <xf numFmtId="0" fontId="23" fillId="2" borderId="0" applyAlignment="1" pivotButton="0" quotePrefix="0" xfId="0">
      <alignment horizontal="left" vertical="center"/>
    </xf>
    <xf numFmtId="0" fontId="24" fillId="4" borderId="0" pivotButton="0" quotePrefix="0" xfId="0"/>
    <xf numFmtId="0" fontId="2" fillId="3" borderId="3" applyAlignment="1" pivotButton="0" quotePrefix="0" xfId="0">
      <alignment horizontal="center" vertical="center"/>
    </xf>
    <xf numFmtId="0" fontId="25" fillId="5" borderId="3" applyAlignment="1" pivotButton="0" quotePrefix="0" xfId="0">
      <alignment horizontal="left" vertical="center"/>
    </xf>
    <xf numFmtId="0" fontId="4" fillId="5" borderId="3" applyAlignment="1" pivotButton="0" quotePrefix="0" xfId="0">
      <alignment horizontal="left" vertical="center"/>
    </xf>
    <xf numFmtId="0" fontId="25" fillId="6" borderId="3" applyAlignment="1" pivotButton="0" quotePrefix="0" xfId="0">
      <alignment horizontal="left" vertical="center"/>
    </xf>
    <xf numFmtId="0" fontId="4" fillId="6" borderId="3" applyAlignment="1" pivotButton="0" quotePrefix="0" xfId="0">
      <alignment horizontal="left" vertical="center"/>
    </xf>
    <xf numFmtId="0" fontId="3" fillId="6" borderId="3" applyAlignment="1" pivotButton="0" quotePrefix="0" xfId="0">
      <alignment horizontal="left" vertical="center" wrapText="1"/>
    </xf>
    <xf numFmtId="0" fontId="3" fillId="5" borderId="3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left" vertical="center"/>
    </xf>
    <xf numFmtId="0" fontId="2" fillId="3" borderId="3" applyAlignment="1" pivotButton="0" quotePrefix="0" xfId="0">
      <alignment horizontal="center" vertical="center"/>
    </xf>
    <xf numFmtId="0" fontId="25" fillId="4" borderId="3" applyAlignment="1" pivotButton="0" quotePrefix="0" xfId="0">
      <alignment horizontal="left" vertical="center" wrapText="1"/>
    </xf>
    <xf numFmtId="0" fontId="4" fillId="4" borderId="3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7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20" customWidth="1" min="4" max="4"/>
    <col width="18" customWidth="1" min="5" max="5"/>
    <col width="9" customWidth="1" min="6" max="6"/>
    <col width="18" customWidth="1" min="7" max="7"/>
    <col width="28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6" customWidth="1" min="14" max="14"/>
    <col width="10" customWidth="1" min="15" max="15"/>
    <col width="9" customWidth="1" min="16" max="16"/>
    <col width="9" customWidth="1" min="17" max="17"/>
    <col width="9" customWidth="1" min="18" max="18"/>
    <col width="10" customWidth="1" min="19" max="19"/>
    <col width="16" customWidth="1" min="20" max="20"/>
    <col width="42" customWidth="1" min="21" max="21"/>
    <col width="52" customWidth="1" min="22" max="22"/>
    <col width="40" customWidth="1" min="23" max="23"/>
    <col width="30" customWidth="1" min="24" max="24"/>
    <col width="30" customWidth="1" min="25" max="25"/>
    <col width="30" customWidth="1" min="26" max="26"/>
    <col width="10" customWidth="1" min="27" max="27"/>
    <col width="10" customWidth="1" min="28" max="28"/>
    <col width="50" customWidth="1" min="29" max="29"/>
    <col width="28" customWidth="1" min="30" max="30"/>
    <col width="12" customWidth="1" min="31" max="31"/>
    <col width="18" customWidth="1" min="32" max="32"/>
    <col width="12" customWidth="1" min="33" max="33"/>
    <col width="12" customWidth="1" min="34" max="34"/>
    <col width="8" customWidth="1" min="35" max="35"/>
    <col width="40" customWidth="1" min="36" max="36"/>
    <col width="55" customWidth="1" min="37" max="37"/>
  </cols>
  <sheetData>
    <row r="1" ht="28" customHeight="1">
      <c r="A1" s="1" t="inlineStr">
        <is>
          <t>CogniMap · Gf (Fluid Reasoning) · Band 1 (Ages 8–10) · Item Bank v2.0  |  Manual: CHC_Aptitude_Test_Manual_v5_1_REVISED</t>
        </is>
      </c>
    </row>
    <row r="2" ht="22" customHeight="1">
      <c r="A2" s="2" t="inlineStr">
        <is>
          <t>Item ID</t>
        </is>
      </c>
      <c r="B2" s="2" t="inlineStr">
        <is>
          <t>Domain</t>
        </is>
      </c>
      <c r="C2" s="2" t="inlineStr">
        <is>
          <t>Age Band</t>
        </is>
      </c>
      <c r="D2" s="2" t="inlineStr">
        <is>
          <t>Cog Dev Stage</t>
        </is>
      </c>
      <c r="E2" s="2" t="inlineStr">
        <is>
          <t>Narrow Ability</t>
        </is>
      </c>
      <c r="F2" s="2" t="inlineStr">
        <is>
          <t>CHC Code</t>
        </is>
      </c>
      <c r="G2" s="2" t="inlineStr">
        <is>
          <t>Template</t>
        </is>
      </c>
      <c r="H2" s="2" t="inlineStr">
        <is>
          <t>Rule Type</t>
        </is>
      </c>
      <c r="I2" s="2" t="inlineStr">
        <is>
          <t>Rule Dims</t>
        </is>
      </c>
      <c r="J2" s="2" t="inlineStr">
        <is>
          <t>Subtype</t>
        </is>
      </c>
      <c r="K2" s="2" t="inlineStr">
        <is>
          <t>Difficulty</t>
        </is>
      </c>
      <c r="L2" s="2" t="inlineStr">
        <is>
          <t>b-prior</t>
        </is>
      </c>
      <c r="M2" s="2" t="inlineStr">
        <is>
          <t>a (est.)</t>
        </is>
      </c>
      <c r="N2" s="2" t="inlineStr">
        <is>
          <t>c</t>
        </is>
      </c>
      <c r="O2" s="2" t="inlineStr">
        <is>
          <t>Calibrated?</t>
        </is>
      </c>
      <c r="P2" s="2" t="inlineStr">
        <is>
          <t>Time (s)</t>
        </is>
      </c>
      <c r="Q2" s="2" t="inlineStr">
        <is>
          <t>Display</t>
        </is>
      </c>
      <c r="R2" s="2" t="inlineStr">
        <is>
          <t>Format</t>
        </is>
      </c>
      <c r="S2" s="2" t="inlineStr">
        <is>
          <t>Practice?</t>
        </is>
      </c>
      <c r="T2" s="2" t="inlineStr">
        <is>
          <t>Anchor Group</t>
        </is>
      </c>
      <c r="U2" s="2" t="inlineStr">
        <is>
          <t>Prompt Text</t>
        </is>
      </c>
      <c r="V2" s="2" t="inlineStr">
        <is>
          <t>Stimulus Row 1</t>
        </is>
      </c>
      <c r="W2" s="2" t="inlineStr">
        <is>
          <t>Stimulus Row 2</t>
        </is>
      </c>
      <c r="X2" s="2" t="inlineStr">
        <is>
          <t>Option A</t>
        </is>
      </c>
      <c r="Y2" s="2" t="inlineStr">
        <is>
          <t>Option B</t>
        </is>
      </c>
      <c r="Z2" s="2" t="inlineStr">
        <is>
          <t>Option C</t>
        </is>
      </c>
      <c r="AA2" s="2" t="inlineStr">
        <is>
          <t>Correct Ans</t>
        </is>
      </c>
      <c r="AB2" s="2" t="inlineStr">
        <is>
          <t>Correct Idx</t>
        </is>
      </c>
      <c r="AC2" s="2" t="inlineStr">
        <is>
          <t>Distractor Rationale</t>
        </is>
      </c>
      <c r="AD2" s="2" t="inlineStr">
        <is>
          <t>Enemy Items</t>
        </is>
      </c>
      <c r="AE2" s="2" t="inlineStr">
        <is>
          <t>Exposure Max</t>
        </is>
      </c>
      <c r="AF2" s="2" t="inlineStr">
        <is>
          <t>Content Constraint</t>
        </is>
      </c>
      <c r="AG2" s="2" t="inlineStr">
        <is>
          <t>DIF Sex</t>
        </is>
      </c>
      <c r="AH2" s="2" t="inlineStr">
        <is>
          <t>DIF SES</t>
        </is>
      </c>
      <c r="AI2" s="2" t="inlineStr">
        <is>
          <t>Pilot N</t>
        </is>
      </c>
      <c r="AJ2" s="2" t="inlineStr">
        <is>
          <t>Change Log</t>
        </is>
      </c>
      <c r="AK2" s="2" t="inlineStr">
        <is>
          <t>Notes</t>
        </is>
      </c>
    </row>
    <row r="3" ht="18" customHeight="1">
      <c r="A3" s="3" t="inlineStr">
        <is>
          <t>▸  PRACTICE ITEMS  (P01–P03)  |  Not scored  |  Used to teach response format</t>
        </is>
      </c>
    </row>
    <row r="4" ht="52" customHeight="1">
      <c r="A4" s="4" t="inlineStr">
        <is>
          <t>Gf_B1_P01</t>
        </is>
      </c>
      <c r="B4" s="5" t="inlineStr">
        <is>
          <t>Gf</t>
        </is>
      </c>
      <c r="C4" s="5" t="inlineStr">
        <is>
          <t>8-10</t>
        </is>
      </c>
      <c r="D4" s="5" t="inlineStr">
        <is>
          <t>concrete_operations</t>
        </is>
      </c>
      <c r="E4" s="5" t="inlineStr">
        <is>
          <t>Induction</t>
        </is>
      </c>
      <c r="F4" s="5" t="inlineStr">
        <is>
          <t>I</t>
        </is>
      </c>
      <c r="G4" s="5" t="inlineStr">
        <is>
          <t>series_linear</t>
        </is>
      </c>
      <c r="H4" s="5" t="inlineStr">
        <is>
          <t>size_change</t>
        </is>
      </c>
      <c r="I4" s="5" t="n">
        <v>1</v>
      </c>
      <c r="J4" s="5" t="inlineStr">
        <is>
          <t>figural</t>
        </is>
      </c>
      <c r="K4" s="6" t="inlineStr">
        <is>
          <t>easy</t>
        </is>
      </c>
      <c r="L4" s="7" t="n">
        <v>-1.5</v>
      </c>
      <c r="M4" s="7" t="n">
        <v>0.8</v>
      </c>
      <c r="N4" s="7" t="n">
        <v>0.33</v>
      </c>
      <c r="O4" s="8" t="inlineStr">
        <is>
          <t>FALSE</t>
        </is>
      </c>
      <c r="P4" s="5" t="n">
        <v>45</v>
      </c>
      <c r="Q4" s="5" t="inlineStr">
        <is>
          <t>image</t>
        </is>
      </c>
      <c r="R4" s="5" t="inlineStr">
        <is>
          <t>3-choice</t>
        </is>
      </c>
      <c r="S4" s="9" t="inlineStr">
        <is>
          <t>TRUE</t>
        </is>
      </c>
      <c r="T4" s="8" t="n"/>
      <c r="U4" s="10" t="inlineStr">
        <is>
          <t>Look at the shapes — they get bigger each time. Which shape comes next?</t>
        </is>
      </c>
      <c r="V4" s="10" t="inlineStr">
        <is>
          <t>[tiny circle] → [small circle] → [medium circle] → [large circle] → ?</t>
        </is>
      </c>
      <c r="W4" s="10" t="n"/>
      <c r="X4" s="10" t="inlineStr">
        <is>
          <t>[XL circle]</t>
        </is>
      </c>
      <c r="Y4" s="10" t="inlineStr">
        <is>
          <t>[small circle]</t>
        </is>
      </c>
      <c r="Z4" s="10" t="inlineStr">
        <is>
          <t>[triangle]</t>
        </is>
      </c>
      <c r="AA4" s="11" t="inlineStr">
        <is>
          <t>A</t>
        </is>
      </c>
      <c r="AB4" s="12" t="n">
        <v>1</v>
      </c>
      <c r="AC4" s="5" t="inlineStr">
        <is>
          <t>B=size reversal; C=wrong shape entirely</t>
        </is>
      </c>
      <c r="AD4" s="5" t="n"/>
      <c r="AE4" s="5" t="n">
        <v>0.99</v>
      </c>
      <c r="AF4" s="5" t="inlineStr">
        <is>
          <t>induction</t>
        </is>
      </c>
      <c r="AG4" s="5" t="inlineStr">
        <is>
          <t>no_dif</t>
        </is>
      </c>
      <c r="AH4" s="5" t="inlineStr">
        <is>
          <t>untested</t>
        </is>
      </c>
      <c r="AI4" s="5" t="n">
        <v>0</v>
      </c>
      <c r="AJ4" s="13" t="inlineStr">
        <is>
          <t>UNCHANGED — size labels capped at 4 canonical levels (tiny/small/medium/large/XL→renamed from huge)</t>
        </is>
      </c>
      <c r="AK4" s="14" t="inlineStr">
        <is>
          <t>PRACTICE. Clear size progression. Teaches response format. NOTE: XL replaces non-standard 'huge'.</t>
        </is>
      </c>
    </row>
    <row r="5" ht="52" customHeight="1">
      <c r="A5" s="15" t="inlineStr">
        <is>
          <t>Gf_B1_P02</t>
        </is>
      </c>
      <c r="B5" s="16" t="inlineStr">
        <is>
          <t>Gf</t>
        </is>
      </c>
      <c r="C5" s="16" t="inlineStr">
        <is>
          <t>8-10</t>
        </is>
      </c>
      <c r="D5" s="16" t="inlineStr">
        <is>
          <t>concrete_operations</t>
        </is>
      </c>
      <c r="E5" s="16" t="inlineStr">
        <is>
          <t>Induction</t>
        </is>
      </c>
      <c r="F5" s="16" t="inlineStr">
        <is>
          <t>I</t>
        </is>
      </c>
      <c r="G5" s="16" t="inlineStr">
        <is>
          <t>matrix_2x2</t>
        </is>
      </c>
      <c r="H5" s="16" t="inlineStr">
        <is>
          <t>shape_change</t>
        </is>
      </c>
      <c r="I5" s="16" t="n">
        <v>1</v>
      </c>
      <c r="J5" s="16" t="inlineStr">
        <is>
          <t>figural</t>
        </is>
      </c>
      <c r="K5" s="17" t="inlineStr">
        <is>
          <t>easy</t>
        </is>
      </c>
      <c r="L5" s="18" t="n">
        <v>-1.4</v>
      </c>
      <c r="M5" s="18" t="n">
        <v>0.8</v>
      </c>
      <c r="N5" s="18" t="n">
        <v>0.33</v>
      </c>
      <c r="O5" s="19" t="inlineStr">
        <is>
          <t>FALSE</t>
        </is>
      </c>
      <c r="P5" s="16" t="n">
        <v>45</v>
      </c>
      <c r="Q5" s="16" t="inlineStr">
        <is>
          <t>image</t>
        </is>
      </c>
      <c r="R5" s="16" t="inlineStr">
        <is>
          <t>3-choice</t>
        </is>
      </c>
      <c r="S5" s="20" t="inlineStr">
        <is>
          <t>TRUE</t>
        </is>
      </c>
      <c r="T5" s="19" t="n"/>
      <c r="U5" s="21" t="inlineStr">
        <is>
          <t>Look at the 2×2 grid. What shape belongs in the empty box?</t>
        </is>
      </c>
      <c r="V5" s="21" t="inlineStr">
        <is>
          <t>Row 1: [circle] | [square]</t>
        </is>
      </c>
      <c r="W5" s="21" t="inlineStr">
        <is>
          <t>Row 2: [circle] | [?]</t>
        </is>
      </c>
      <c r="X5" s="21" t="inlineStr">
        <is>
          <t>[square]</t>
        </is>
      </c>
      <c r="Y5" s="21" t="inlineStr">
        <is>
          <t>[triangle]</t>
        </is>
      </c>
      <c r="Z5" s="21" t="inlineStr">
        <is>
          <t>[circle]</t>
        </is>
      </c>
      <c r="AA5" s="22" t="inlineStr">
        <is>
          <t>A</t>
        </is>
      </c>
      <c r="AB5" s="23" t="n">
        <v>1</v>
      </c>
      <c r="AC5" s="16" t="inlineStr">
        <is>
          <t>B=wrong shape; C=repeats col1 shape</t>
        </is>
      </c>
      <c r="AD5" s="16" t="n"/>
      <c r="AE5" s="16" t="n">
        <v>0.99</v>
      </c>
      <c r="AF5" s="16" t="inlineStr">
        <is>
          <t>induction</t>
        </is>
      </c>
      <c r="AG5" s="16" t="inlineStr">
        <is>
          <t>no_dif</t>
        </is>
      </c>
      <c r="AH5" s="16" t="inlineStr">
        <is>
          <t>untested</t>
        </is>
      </c>
      <c r="AI5" s="16" t="n">
        <v>0</v>
      </c>
      <c r="AJ5" s="24" t="inlineStr">
        <is>
          <t>UNCHANGED</t>
        </is>
      </c>
      <c r="AK5" s="25" t="inlineStr">
        <is>
          <t>PRACTICE. 2×2 matrix format introduction. Rule: column 2 is always a square.</t>
        </is>
      </c>
    </row>
    <row r="6" ht="52" customHeight="1">
      <c r="A6" s="4" t="inlineStr">
        <is>
          <t>Gf_B1_P03</t>
        </is>
      </c>
      <c r="B6" s="5" t="inlineStr">
        <is>
          <t>Gf</t>
        </is>
      </c>
      <c r="C6" s="5" t="inlineStr">
        <is>
          <t>8-10</t>
        </is>
      </c>
      <c r="D6" s="5" t="inlineStr">
        <is>
          <t>concrete_operations</t>
        </is>
      </c>
      <c r="E6" s="5" t="inlineStr">
        <is>
          <t>Induction</t>
        </is>
      </c>
      <c r="F6" s="5" t="inlineStr">
        <is>
          <t>I</t>
        </is>
      </c>
      <c r="G6" s="5" t="inlineStr">
        <is>
          <t>analogy_figural</t>
        </is>
      </c>
      <c r="H6" s="5" t="inlineStr">
        <is>
          <t>size_change</t>
        </is>
      </c>
      <c r="I6" s="5" t="n">
        <v>1</v>
      </c>
      <c r="J6" s="5" t="inlineStr">
        <is>
          <t>figural</t>
        </is>
      </c>
      <c r="K6" s="6" t="inlineStr">
        <is>
          <t>easy</t>
        </is>
      </c>
      <c r="L6" s="7" t="n">
        <v>-1.3</v>
      </c>
      <c r="M6" s="7" t="n">
        <v>0.8</v>
      </c>
      <c r="N6" s="7" t="n">
        <v>0.33</v>
      </c>
      <c r="O6" s="8" t="inlineStr">
        <is>
          <t>FALSE</t>
        </is>
      </c>
      <c r="P6" s="5" t="n">
        <v>45</v>
      </c>
      <c r="Q6" s="5" t="inlineStr">
        <is>
          <t>image</t>
        </is>
      </c>
      <c r="R6" s="5" t="inlineStr">
        <is>
          <t>3-choice</t>
        </is>
      </c>
      <c r="S6" s="9" t="inlineStr">
        <is>
          <t>TRUE</t>
        </is>
      </c>
      <c r="T6" s="8" t="n"/>
      <c r="U6" s="10" t="inlineStr">
        <is>
          <t>Big circle is to small circle as big square is to…?</t>
        </is>
      </c>
      <c r="V6" s="10" t="inlineStr">
        <is>
          <t>[large circle] : [small circle] :: [large square] : [?]</t>
        </is>
      </c>
      <c r="W6" s="10" t="n"/>
      <c r="X6" s="10" t="inlineStr">
        <is>
          <t>[small square]</t>
        </is>
      </c>
      <c r="Y6" s="10" t="inlineStr">
        <is>
          <t>[large square]</t>
        </is>
      </c>
      <c r="Z6" s="10" t="inlineStr">
        <is>
          <t>[small circle]</t>
        </is>
      </c>
      <c r="AA6" s="11" t="inlineStr">
        <is>
          <t>A</t>
        </is>
      </c>
      <c r="AB6" s="12" t="n">
        <v>1</v>
      </c>
      <c r="AC6" s="5" t="inlineStr">
        <is>
          <t>B=size unchanged error; C=shape stays as circle error</t>
        </is>
      </c>
      <c r="AD6" s="5" t="inlineStr">
        <is>
          <t>Gf_B1_011</t>
        </is>
      </c>
      <c r="AE6" s="5" t="n">
        <v>0.99</v>
      </c>
      <c r="AF6" s="5" t="inlineStr">
        <is>
          <t>induction</t>
        </is>
      </c>
      <c r="AG6" s="5" t="inlineStr">
        <is>
          <t>no_dif</t>
        </is>
      </c>
      <c r="AH6" s="5" t="inlineStr">
        <is>
          <t>untested</t>
        </is>
      </c>
      <c r="AI6" s="5" t="n">
        <v>0</v>
      </c>
      <c r="AJ6" s="13" t="inlineStr">
        <is>
          <t>UNCHANGED</t>
        </is>
      </c>
      <c r="AK6" s="14" t="inlineStr">
        <is>
          <t>PRACTICE. Analogy format introduction. Rule: large→small applied to new shape.</t>
        </is>
      </c>
    </row>
    <row r="7" ht="18" customHeight="1">
      <c r="A7" s="3" t="inlineStr">
        <is>
          <t>▸  OPERATIONAL ITEMS — INDUCTION (I)  |  Rule-based pattern induction  |  Scored</t>
        </is>
      </c>
    </row>
    <row r="8" ht="52" customHeight="1">
      <c r="A8" s="4" t="inlineStr">
        <is>
          <t>Gf_B1_001</t>
        </is>
      </c>
      <c r="B8" s="5" t="inlineStr">
        <is>
          <t>Gf</t>
        </is>
      </c>
      <c r="C8" s="5" t="inlineStr">
        <is>
          <t>8-10</t>
        </is>
      </c>
      <c r="D8" s="5" t="inlineStr">
        <is>
          <t>concrete_operations</t>
        </is>
      </c>
      <c r="E8" s="5" t="inlineStr">
        <is>
          <t>Induction</t>
        </is>
      </c>
      <c r="F8" s="5" t="inlineStr">
        <is>
          <t>I</t>
        </is>
      </c>
      <c r="G8" s="5" t="inlineStr">
        <is>
          <t>matrix_2x2</t>
        </is>
      </c>
      <c r="H8" s="5" t="inlineStr">
        <is>
          <t>size_change</t>
        </is>
      </c>
      <c r="I8" s="5" t="n">
        <v>1</v>
      </c>
      <c r="J8" s="5" t="inlineStr">
        <is>
          <t>figural</t>
        </is>
      </c>
      <c r="K8" s="6" t="inlineStr">
        <is>
          <t>easy</t>
        </is>
      </c>
      <c r="L8" s="7" t="n">
        <v>-1.45</v>
      </c>
      <c r="M8" s="7" t="n">
        <v>1</v>
      </c>
      <c r="N8" s="7" t="n">
        <v>0.33</v>
      </c>
      <c r="O8" s="8" t="inlineStr">
        <is>
          <t>FALSE</t>
        </is>
      </c>
      <c r="P8" s="5" t="n">
        <v>45</v>
      </c>
      <c r="Q8" s="5" t="inlineStr">
        <is>
          <t>image</t>
        </is>
      </c>
      <c r="R8" s="5" t="inlineStr">
        <is>
          <t>3-choice</t>
        </is>
      </c>
      <c r="S8" s="8" t="inlineStr">
        <is>
          <t>FALSE</t>
        </is>
      </c>
      <c r="T8" s="9" t="inlineStr">
        <is>
          <t>GF_ANCHOR_B1</t>
        </is>
      </c>
      <c r="U8" s="10" t="inlineStr">
        <is>
          <t>Which shape completes the grid?</t>
        </is>
      </c>
      <c r="V8" s="10" t="inlineStr">
        <is>
          <t>Row 1: [large triangle] | [small triangle]</t>
        </is>
      </c>
      <c r="W8" s="10" t="inlineStr">
        <is>
          <t>Row 2: [large circle] | [?]</t>
        </is>
      </c>
      <c r="X8" s="10" t="inlineStr">
        <is>
          <t>[large circle]</t>
        </is>
      </c>
      <c r="Y8" s="10" t="inlineStr">
        <is>
          <t>[small circle]</t>
        </is>
      </c>
      <c r="Z8" s="10" t="inlineStr">
        <is>
          <t>[small triangle]</t>
        </is>
      </c>
      <c r="AA8" s="26" t="inlineStr">
        <is>
          <t>B</t>
        </is>
      </c>
      <c r="AB8" s="12" t="n">
        <v>2</v>
      </c>
      <c r="AC8" s="5" t="inlineStr">
        <is>
          <t>A=size unchanged (large); C=wrong shape</t>
        </is>
      </c>
      <c r="AD8" s="5" t="inlineStr">
        <is>
          <t>Gf_B1_002</t>
        </is>
      </c>
      <c r="AE8" s="5" t="n">
        <v>0.2</v>
      </c>
      <c r="AF8" s="5" t="inlineStr">
        <is>
          <t>induction</t>
        </is>
      </c>
      <c r="AG8" s="5" t="inlineStr">
        <is>
          <t>no_dif</t>
        </is>
      </c>
      <c r="AH8" s="5" t="inlineStr">
        <is>
          <t>untested</t>
        </is>
      </c>
      <c r="AI8" s="5" t="n">
        <v>0</v>
      </c>
      <c r="AJ8" s="27" t="inlineStr">
        <is>
          <t>CORRECT_IDX — anchor, content unchanged. Options rotated: [small circle] to B.</t>
        </is>
      </c>
      <c r="AK8" s="14" t="inlineStr">
        <is>
          <t>ANCHOR. Rule: col1=large, col2=small applied across rows.</t>
        </is>
      </c>
    </row>
    <row r="9" ht="52" customHeight="1">
      <c r="A9" s="15" t="inlineStr">
        <is>
          <t>Gf_B1_002</t>
        </is>
      </c>
      <c r="B9" s="16" t="inlineStr">
        <is>
          <t>Gf</t>
        </is>
      </c>
      <c r="C9" s="16" t="inlineStr">
        <is>
          <t>8-10</t>
        </is>
      </c>
      <c r="D9" s="16" t="inlineStr">
        <is>
          <t>concrete_operations</t>
        </is>
      </c>
      <c r="E9" s="16" t="inlineStr">
        <is>
          <t>Induction</t>
        </is>
      </c>
      <c r="F9" s="16" t="inlineStr">
        <is>
          <t>I</t>
        </is>
      </c>
      <c r="G9" s="16" t="inlineStr">
        <is>
          <t>matrix_2x2</t>
        </is>
      </c>
      <c r="H9" s="16" t="inlineStr">
        <is>
          <t>size_change</t>
        </is>
      </c>
      <c r="I9" s="16" t="n">
        <v>1</v>
      </c>
      <c r="J9" s="16" t="inlineStr">
        <is>
          <t>figural</t>
        </is>
      </c>
      <c r="K9" s="17" t="inlineStr">
        <is>
          <t>easy</t>
        </is>
      </c>
      <c r="L9" s="18" t="n">
        <v>-1.4</v>
      </c>
      <c r="M9" s="18" t="n">
        <v>1</v>
      </c>
      <c r="N9" s="18" t="n">
        <v>0.33</v>
      </c>
      <c r="O9" s="19" t="inlineStr">
        <is>
          <t>FALSE</t>
        </is>
      </c>
      <c r="P9" s="16" t="n">
        <v>45</v>
      </c>
      <c r="Q9" s="16" t="inlineStr">
        <is>
          <t>image</t>
        </is>
      </c>
      <c r="R9" s="16" t="inlineStr">
        <is>
          <t>3-choice</t>
        </is>
      </c>
      <c r="S9" s="19" t="inlineStr">
        <is>
          <t>FALSE</t>
        </is>
      </c>
      <c r="T9" s="19" t="n"/>
      <c r="U9" s="21" t="inlineStr">
        <is>
          <t>Which shape completes the grid?</t>
        </is>
      </c>
      <c r="V9" s="21" t="inlineStr">
        <is>
          <t>Row 1: [small square] | [large square]</t>
        </is>
      </c>
      <c r="W9" s="21" t="inlineStr">
        <is>
          <t>Row 2: [small star] | [?]</t>
        </is>
      </c>
      <c r="X9" s="21" t="inlineStr">
        <is>
          <t>[small star]</t>
        </is>
      </c>
      <c r="Y9" s="21" t="inlineStr">
        <is>
          <t>[large star]</t>
        </is>
      </c>
      <c r="Z9" s="21" t="inlineStr">
        <is>
          <t>[large square]</t>
        </is>
      </c>
      <c r="AA9" s="28" t="inlineStr">
        <is>
          <t>B</t>
        </is>
      </c>
      <c r="AB9" s="23" t="n">
        <v>2</v>
      </c>
      <c r="AC9" s="16" t="inlineStr">
        <is>
          <t>A=size unchanged (small); C=wrong shape</t>
        </is>
      </c>
      <c r="AD9" s="16" t="inlineStr">
        <is>
          <t>Gf_B1_001</t>
        </is>
      </c>
      <c r="AE9" s="16" t="n">
        <v>0.2</v>
      </c>
      <c r="AF9" s="16" t="inlineStr">
        <is>
          <t>induction</t>
        </is>
      </c>
      <c r="AG9" s="16" t="inlineStr">
        <is>
          <t>no_dif</t>
        </is>
      </c>
      <c r="AH9" s="16" t="inlineStr">
        <is>
          <t>untested</t>
        </is>
      </c>
      <c r="AI9" s="16" t="n">
        <v>0</v>
      </c>
      <c r="AJ9" s="29" t="inlineStr">
        <is>
          <t>CORRECT_IDX — content unchanged. Options rotated: [large star] to B.</t>
        </is>
      </c>
      <c r="AK9" s="25" t="inlineStr">
        <is>
          <t>Rule: col1=small, col2=large. Hard enemy with 001.</t>
        </is>
      </c>
    </row>
    <row r="10" ht="52" customHeight="1">
      <c r="A10" s="4" t="inlineStr">
        <is>
          <t>Gf_B1_003</t>
        </is>
      </c>
      <c r="B10" s="5" t="inlineStr">
        <is>
          <t>Gf</t>
        </is>
      </c>
      <c r="C10" s="5" t="inlineStr">
        <is>
          <t>8-10</t>
        </is>
      </c>
      <c r="D10" s="5" t="inlineStr">
        <is>
          <t>concrete_operations</t>
        </is>
      </c>
      <c r="E10" s="5" t="inlineStr">
        <is>
          <t>Induction</t>
        </is>
      </c>
      <c r="F10" s="5" t="inlineStr">
        <is>
          <t>I</t>
        </is>
      </c>
      <c r="G10" s="5" t="inlineStr">
        <is>
          <t>matrix_2x2</t>
        </is>
      </c>
      <c r="H10" s="5" t="inlineStr">
        <is>
          <t>shading_pattern</t>
        </is>
      </c>
      <c r="I10" s="5" t="n">
        <v>1</v>
      </c>
      <c r="J10" s="5" t="inlineStr">
        <is>
          <t>figural</t>
        </is>
      </c>
      <c r="K10" s="6" t="inlineStr">
        <is>
          <t>easy</t>
        </is>
      </c>
      <c r="L10" s="7" t="n">
        <v>-1.35</v>
      </c>
      <c r="M10" s="7" t="n">
        <v>1</v>
      </c>
      <c r="N10" s="7" t="n">
        <v>0.33</v>
      </c>
      <c r="O10" s="8" t="inlineStr">
        <is>
          <t>FALSE</t>
        </is>
      </c>
      <c r="P10" s="5" t="n">
        <v>45</v>
      </c>
      <c r="Q10" s="5" t="inlineStr">
        <is>
          <t>image</t>
        </is>
      </c>
      <c r="R10" s="5" t="inlineStr">
        <is>
          <t>3-choice</t>
        </is>
      </c>
      <c r="S10" s="8" t="inlineStr">
        <is>
          <t>FALSE</t>
        </is>
      </c>
      <c r="T10" s="8" t="n"/>
      <c r="U10" s="10" t="inlineStr">
        <is>
          <t>Which shape completes the grid?</t>
        </is>
      </c>
      <c r="V10" s="10" t="inlineStr">
        <is>
          <t>Row 1: [filled circle] | [hollow circle]</t>
        </is>
      </c>
      <c r="W10" s="10" t="inlineStr">
        <is>
          <t>Row 2: [filled square] | [?]</t>
        </is>
      </c>
      <c r="X10" s="10" t="inlineStr">
        <is>
          <t>[filled square]</t>
        </is>
      </c>
      <c r="Y10" s="10" t="inlineStr">
        <is>
          <t>[hollow square]</t>
        </is>
      </c>
      <c r="Z10" s="10" t="inlineStr">
        <is>
          <t>[hollow circle]</t>
        </is>
      </c>
      <c r="AA10" s="26" t="inlineStr">
        <is>
          <t>B</t>
        </is>
      </c>
      <c r="AB10" s="12" t="n">
        <v>2</v>
      </c>
      <c r="AC10" s="5" t="inlineStr">
        <is>
          <t>A=shading unchanged (filled); C=wrong shape</t>
        </is>
      </c>
      <c r="AD10" s="5" t="inlineStr">
        <is>
          <t>Gf_B1_004</t>
        </is>
      </c>
      <c r="AE10" s="5" t="n">
        <v>0.2</v>
      </c>
      <c r="AF10" s="5" t="inlineStr">
        <is>
          <t>induction</t>
        </is>
      </c>
      <c r="AG10" s="5" t="inlineStr">
        <is>
          <t>no_dif</t>
        </is>
      </c>
      <c r="AH10" s="5" t="inlineStr">
        <is>
          <t>untested</t>
        </is>
      </c>
      <c r="AI10" s="5" t="n">
        <v>0</v>
      </c>
      <c r="AJ10" s="27" t="inlineStr">
        <is>
          <t>CORRECT_IDX — content unchanged. Options rotated: [hollow square] to B.</t>
        </is>
      </c>
      <c r="AK10" s="14" t="inlineStr">
        <is>
          <t>Rule: col1=filled, col2=hollow. Hard enemy with 004.</t>
        </is>
      </c>
    </row>
    <row r="11" ht="52" customHeight="1">
      <c r="A11" s="15" t="inlineStr">
        <is>
          <t>Gf_B1_004</t>
        </is>
      </c>
      <c r="B11" s="16" t="inlineStr">
        <is>
          <t>Gf</t>
        </is>
      </c>
      <c r="C11" s="16" t="inlineStr">
        <is>
          <t>8-10</t>
        </is>
      </c>
      <c r="D11" s="16" t="inlineStr">
        <is>
          <t>concrete_operations</t>
        </is>
      </c>
      <c r="E11" s="16" t="inlineStr">
        <is>
          <t>Induction</t>
        </is>
      </c>
      <c r="F11" s="16" t="inlineStr">
        <is>
          <t>I</t>
        </is>
      </c>
      <c r="G11" s="16" t="inlineStr">
        <is>
          <t>matrix_2x2</t>
        </is>
      </c>
      <c r="H11" s="16" t="inlineStr">
        <is>
          <t>shading_pattern</t>
        </is>
      </c>
      <c r="I11" s="16" t="n">
        <v>1</v>
      </c>
      <c r="J11" s="16" t="inlineStr">
        <is>
          <t>figural</t>
        </is>
      </c>
      <c r="K11" s="17" t="inlineStr">
        <is>
          <t>easy</t>
        </is>
      </c>
      <c r="L11" s="18" t="n">
        <v>-1.3</v>
      </c>
      <c r="M11" s="18" t="n">
        <v>1</v>
      </c>
      <c r="N11" s="18" t="n">
        <v>0.33</v>
      </c>
      <c r="O11" s="19" t="inlineStr">
        <is>
          <t>FALSE</t>
        </is>
      </c>
      <c r="P11" s="16" t="n">
        <v>45</v>
      </c>
      <c r="Q11" s="16" t="inlineStr">
        <is>
          <t>image</t>
        </is>
      </c>
      <c r="R11" s="16" t="inlineStr">
        <is>
          <t>3-choice</t>
        </is>
      </c>
      <c r="S11" s="19" t="inlineStr">
        <is>
          <t>FALSE</t>
        </is>
      </c>
      <c r="T11" s="19" t="n"/>
      <c r="U11" s="21" t="inlineStr">
        <is>
          <t>Which shape completes the grid?</t>
        </is>
      </c>
      <c r="V11" s="21" t="inlineStr">
        <is>
          <t>Row 1: [hollow triangle] | [filled triangle]</t>
        </is>
      </c>
      <c r="W11" s="21" t="inlineStr">
        <is>
          <t>Row 2: [hollow diamond] | [?]</t>
        </is>
      </c>
      <c r="X11" s="21" t="inlineStr">
        <is>
          <t>[hollow diamond]</t>
        </is>
      </c>
      <c r="Y11" s="21" t="inlineStr">
        <is>
          <t>[filled diamond]</t>
        </is>
      </c>
      <c r="Z11" s="21" t="inlineStr">
        <is>
          <t>[filled triangle]</t>
        </is>
      </c>
      <c r="AA11" s="28" t="inlineStr">
        <is>
          <t>B</t>
        </is>
      </c>
      <c r="AB11" s="23" t="n">
        <v>2</v>
      </c>
      <c r="AC11" s="16" t="inlineStr">
        <is>
          <t>A=shading unchanged (hollow); C=wrong shape</t>
        </is>
      </c>
      <c r="AD11" s="16" t="inlineStr">
        <is>
          <t>Gf_B1_003</t>
        </is>
      </c>
      <c r="AE11" s="16" t="n">
        <v>0.2</v>
      </c>
      <c r="AF11" s="16" t="inlineStr">
        <is>
          <t>induction</t>
        </is>
      </c>
      <c r="AG11" s="16" t="inlineStr">
        <is>
          <t>no_dif</t>
        </is>
      </c>
      <c r="AH11" s="16" t="inlineStr">
        <is>
          <t>untested</t>
        </is>
      </c>
      <c r="AI11" s="16" t="n">
        <v>0</v>
      </c>
      <c r="AJ11" s="29" t="inlineStr">
        <is>
          <t>CORRECT_IDX — content unchanged. Options rotated: [filled diamond] to B.</t>
        </is>
      </c>
      <c r="AK11" s="25" t="inlineStr">
        <is>
          <t>Rule: col1=hollow, col2=filled. Hard enemy with 003.</t>
        </is>
      </c>
    </row>
    <row r="12" ht="52" customHeight="1">
      <c r="A12" s="4" t="inlineStr">
        <is>
          <t>Gf_B1_005</t>
        </is>
      </c>
      <c r="B12" s="5" t="inlineStr">
        <is>
          <t>Gf</t>
        </is>
      </c>
      <c r="C12" s="5" t="inlineStr">
        <is>
          <t>8-10</t>
        </is>
      </c>
      <c r="D12" s="5" t="inlineStr">
        <is>
          <t>concrete_operations</t>
        </is>
      </c>
      <c r="E12" s="5" t="inlineStr">
        <is>
          <t>Induction</t>
        </is>
      </c>
      <c r="F12" s="5" t="inlineStr">
        <is>
          <t>I</t>
        </is>
      </c>
      <c r="G12" s="5" t="inlineStr">
        <is>
          <t>matrix_2x2</t>
        </is>
      </c>
      <c r="H12" s="5" t="inlineStr">
        <is>
          <t>number_of_elements</t>
        </is>
      </c>
      <c r="I12" s="5" t="n">
        <v>1</v>
      </c>
      <c r="J12" s="5" t="inlineStr">
        <is>
          <t>figural</t>
        </is>
      </c>
      <c r="K12" s="6" t="inlineStr">
        <is>
          <t>easy</t>
        </is>
      </c>
      <c r="L12" s="7" t="n">
        <v>-1.25</v>
      </c>
      <c r="M12" s="7" t="n">
        <v>1</v>
      </c>
      <c r="N12" s="7" t="n">
        <v>0.33</v>
      </c>
      <c r="O12" s="8" t="inlineStr">
        <is>
          <t>FALSE</t>
        </is>
      </c>
      <c r="P12" s="5" t="n">
        <v>45</v>
      </c>
      <c r="Q12" s="5" t="inlineStr">
        <is>
          <t>image</t>
        </is>
      </c>
      <c r="R12" s="5" t="inlineStr">
        <is>
          <t>3-choice</t>
        </is>
      </c>
      <c r="S12" s="8" t="inlineStr">
        <is>
          <t>FALSE</t>
        </is>
      </c>
      <c r="T12" s="8" t="n"/>
      <c r="U12" s="10" t="inlineStr">
        <is>
          <t>Which shape completes the grid?</t>
        </is>
      </c>
      <c r="V12" s="10" t="inlineStr">
        <is>
          <t>Row 1: [1 circle] | [2 circles]</t>
        </is>
      </c>
      <c r="W12" s="10" t="inlineStr">
        <is>
          <t>Row 2: [1 square] | [?]</t>
        </is>
      </c>
      <c r="X12" s="10" t="inlineStr">
        <is>
          <t>[3 squares]</t>
        </is>
      </c>
      <c r="Y12" s="10" t="inlineStr">
        <is>
          <t>[2 squares]</t>
        </is>
      </c>
      <c r="Z12" s="10" t="inlineStr">
        <is>
          <t>[1 square]</t>
        </is>
      </c>
      <c r="AA12" s="26" t="inlineStr">
        <is>
          <t>B</t>
        </is>
      </c>
      <c r="AB12" s="12" t="n">
        <v>2</v>
      </c>
      <c r="AC12" s="5" t="inlineStr">
        <is>
          <t>A=overcount (3); C=unchanged (1)</t>
        </is>
      </c>
      <c r="AD12" s="5" t="inlineStr">
        <is>
          <t>Gf_B1_006</t>
        </is>
      </c>
      <c r="AE12" s="5" t="n">
        <v>0.2</v>
      </c>
      <c r="AF12" s="5" t="inlineStr">
        <is>
          <t>induction</t>
        </is>
      </c>
      <c r="AG12" s="5" t="inlineStr">
        <is>
          <t>no_dif</t>
        </is>
      </c>
      <c r="AH12" s="5" t="inlineStr">
        <is>
          <t>untested</t>
        </is>
      </c>
      <c r="AI12" s="5" t="n">
        <v>0</v>
      </c>
      <c r="AJ12" s="27" t="inlineStr">
        <is>
          <t>CORRECT_IDX — content unchanged. Options rotated: [2 squares] to B.</t>
        </is>
      </c>
      <c r="AK12" s="14" t="inlineStr">
        <is>
          <t>Rule: col1=1 shape, col2=2 shapes. Count-based induction.</t>
        </is>
      </c>
    </row>
    <row r="13" ht="52" customHeight="1">
      <c r="A13" s="15" t="inlineStr">
        <is>
          <t>Gf_B1_006</t>
        </is>
      </c>
      <c r="B13" s="16" t="inlineStr">
        <is>
          <t>Gf</t>
        </is>
      </c>
      <c r="C13" s="16" t="inlineStr">
        <is>
          <t>8-10</t>
        </is>
      </c>
      <c r="D13" s="16" t="inlineStr">
        <is>
          <t>concrete_operations</t>
        </is>
      </c>
      <c r="E13" s="16" t="inlineStr">
        <is>
          <t>Induction</t>
        </is>
      </c>
      <c r="F13" s="16" t="inlineStr">
        <is>
          <t>I</t>
        </is>
      </c>
      <c r="G13" s="16" t="inlineStr">
        <is>
          <t>series_linear</t>
        </is>
      </c>
      <c r="H13" s="16" t="inlineStr">
        <is>
          <t>size_change</t>
        </is>
      </c>
      <c r="I13" s="16" t="n">
        <v>1</v>
      </c>
      <c r="J13" s="16" t="inlineStr">
        <is>
          <t>figural</t>
        </is>
      </c>
      <c r="K13" s="17" t="inlineStr">
        <is>
          <t>easy</t>
        </is>
      </c>
      <c r="L13" s="18" t="n">
        <v>-1.45</v>
      </c>
      <c r="M13" s="18" t="n">
        <v>1</v>
      </c>
      <c r="N13" s="18" t="n">
        <v>0.33</v>
      </c>
      <c r="O13" s="19" t="inlineStr">
        <is>
          <t>FALSE</t>
        </is>
      </c>
      <c r="P13" s="16" t="n">
        <v>45</v>
      </c>
      <c r="Q13" s="16" t="inlineStr">
        <is>
          <t>image</t>
        </is>
      </c>
      <c r="R13" s="16" t="inlineStr">
        <is>
          <t>3-choice</t>
        </is>
      </c>
      <c r="S13" s="19" t="inlineStr">
        <is>
          <t>FALSE</t>
        </is>
      </c>
      <c r="T13" s="20" t="inlineStr">
        <is>
          <t>GF_ANCHOR_B1</t>
        </is>
      </c>
      <c r="U13" s="21" t="inlineStr">
        <is>
          <t>What comes next in the pattern?</t>
        </is>
      </c>
      <c r="V13" s="21" t="inlineStr">
        <is>
          <t>[tiny square] → [small square] → [medium square] → [large square] → ?</t>
        </is>
      </c>
      <c r="W13" s="21" t="n"/>
      <c r="X13" s="21" t="inlineStr">
        <is>
          <t>[medium square]</t>
        </is>
      </c>
      <c r="Y13" s="21" t="inlineStr">
        <is>
          <t>[tiny square]</t>
        </is>
      </c>
      <c r="Z13" s="21" t="inlineStr">
        <is>
          <t>[XL square]</t>
        </is>
      </c>
      <c r="AA13" s="30" t="inlineStr">
        <is>
          <t>C</t>
        </is>
      </c>
      <c r="AB13" s="23" t="n">
        <v>3</v>
      </c>
      <c r="AC13" s="16" t="inlineStr">
        <is>
          <t>A=mid-series; B=start of series</t>
        </is>
      </c>
      <c r="AD13" s="16" t="inlineStr">
        <is>
          <t>Gf_B1_005;Gf_B1_007</t>
        </is>
      </c>
      <c r="AE13" s="16" t="n">
        <v>0.2</v>
      </c>
      <c r="AF13" s="16" t="inlineStr">
        <is>
          <t>induction</t>
        </is>
      </c>
      <c r="AG13" s="16" t="inlineStr">
        <is>
          <t>no_dif</t>
        </is>
      </c>
      <c r="AH13" s="16" t="inlineStr">
        <is>
          <t>untested</t>
        </is>
      </c>
      <c r="AI13" s="16" t="n">
        <v>0</v>
      </c>
      <c r="AJ13" s="29" t="inlineStr">
        <is>
          <t>CORRECT_IDX + UNCHANGED — anchor, content unchanged. Options rotated: [XL square] to C. 'very large' renamed to XL (canonical size token).</t>
        </is>
      </c>
      <c r="AK13" s="25" t="inlineStr">
        <is>
          <t>ANCHOR. Rule: monotonically increasing size. 4-term + response per Band 1 spec.</t>
        </is>
      </c>
    </row>
    <row r="14" ht="52" customHeight="1">
      <c r="A14" s="31" t="inlineStr">
        <is>
          <t>Gf_B1_007</t>
        </is>
      </c>
      <c r="B14" s="32" t="inlineStr">
        <is>
          <t>Gf</t>
        </is>
      </c>
      <c r="C14" s="32" t="inlineStr">
        <is>
          <t>8-10</t>
        </is>
      </c>
      <c r="D14" s="32" t="inlineStr">
        <is>
          <t>concrete_operations</t>
        </is>
      </c>
      <c r="E14" s="32" t="inlineStr">
        <is>
          <t>Induction</t>
        </is>
      </c>
      <c r="F14" s="32" t="inlineStr">
        <is>
          <t>I</t>
        </is>
      </c>
      <c r="G14" s="32" t="inlineStr">
        <is>
          <t>series_linear</t>
        </is>
      </c>
      <c r="H14" s="32" t="inlineStr">
        <is>
          <t>size_change</t>
        </is>
      </c>
      <c r="I14" s="32" t="n">
        <v>1</v>
      </c>
      <c r="J14" s="32" t="inlineStr">
        <is>
          <t>figural</t>
        </is>
      </c>
      <c r="K14" s="33" t="inlineStr">
        <is>
          <t>easy</t>
        </is>
      </c>
      <c r="L14" s="34" t="n">
        <v>-1.35</v>
      </c>
      <c r="M14" s="34" t="n">
        <v>1</v>
      </c>
      <c r="N14" s="34" t="n">
        <v>0.33</v>
      </c>
      <c r="O14" s="35" t="inlineStr">
        <is>
          <t>FALSE</t>
        </is>
      </c>
      <c r="P14" s="32" t="n">
        <v>45</v>
      </c>
      <c r="Q14" s="32" t="inlineStr">
        <is>
          <t>image</t>
        </is>
      </c>
      <c r="R14" s="32" t="inlineStr">
        <is>
          <t>3-choice</t>
        </is>
      </c>
      <c r="S14" s="35" t="inlineStr">
        <is>
          <t>FALSE</t>
        </is>
      </c>
      <c r="T14" s="35" t="n"/>
      <c r="U14" s="36" t="inlineStr">
        <is>
          <t>What comes next in the pattern?</t>
        </is>
      </c>
      <c r="V14" s="36" t="inlineStr">
        <is>
          <t>[XL triangle] → [large triangle] → [medium triangle] → [small triangle] → ?</t>
        </is>
      </c>
      <c r="W14" s="36" t="n"/>
      <c r="X14" s="36" t="inlineStr">
        <is>
          <t>[large triangle]</t>
        </is>
      </c>
      <c r="Y14" s="36" t="inlineStr">
        <is>
          <t>[medium triangle]</t>
        </is>
      </c>
      <c r="Z14" s="36" t="inlineStr">
        <is>
          <t>[tiny triangle]</t>
        </is>
      </c>
      <c r="AA14" s="37" t="inlineStr">
        <is>
          <t>C</t>
        </is>
      </c>
      <c r="AB14" s="38" t="n">
        <v>3</v>
      </c>
      <c r="AC14" s="32" t="inlineStr">
        <is>
          <t>A=start of series; B=middle of series</t>
        </is>
      </c>
      <c r="AD14" s="32" t="inlineStr">
        <is>
          <t>Gf_B1_006</t>
        </is>
      </c>
      <c r="AE14" s="32" t="n">
        <v>0.2</v>
      </c>
      <c r="AF14" s="32" t="inlineStr">
        <is>
          <t>induction</t>
        </is>
      </c>
      <c r="AG14" s="32" t="inlineStr">
        <is>
          <t>no_dif</t>
        </is>
      </c>
      <c r="AH14" s="32" t="inlineStr">
        <is>
          <t>untested</t>
        </is>
      </c>
      <c r="AI14" s="32" t="n">
        <v>0</v>
      </c>
      <c r="AJ14" s="39" t="inlineStr">
        <is>
          <t>VALIDITY_FIX + CORRECT_IDX — 'even smaller triangle' was undefined size level. Redesigned: XL→large→medium→small→[tiny]. [tiny triangle] placed at C.</t>
        </is>
      </c>
      <c r="AK14" s="40" t="inlineStr">
        <is>
          <t>Rule: monotonically decreasing size. Hard enemy with 006 (same rule, opposite direction). All 5 canonical size tokens.</t>
        </is>
      </c>
    </row>
    <row r="15" ht="52" customHeight="1">
      <c r="A15" s="15" t="inlineStr">
        <is>
          <t>Gf_B1_008</t>
        </is>
      </c>
      <c r="B15" s="16" t="inlineStr">
        <is>
          <t>Gf</t>
        </is>
      </c>
      <c r="C15" s="16" t="inlineStr">
        <is>
          <t>8-10</t>
        </is>
      </c>
      <c r="D15" s="16" t="inlineStr">
        <is>
          <t>concrete_operations</t>
        </is>
      </c>
      <c r="E15" s="16" t="inlineStr">
        <is>
          <t>Induction</t>
        </is>
      </c>
      <c r="F15" s="16" t="inlineStr">
        <is>
          <t>I</t>
        </is>
      </c>
      <c r="G15" s="16" t="inlineStr">
        <is>
          <t>series_linear</t>
        </is>
      </c>
      <c r="H15" s="16" t="inlineStr">
        <is>
          <t>number_of_elements</t>
        </is>
      </c>
      <c r="I15" s="16" t="n">
        <v>1</v>
      </c>
      <c r="J15" s="16" t="inlineStr">
        <is>
          <t>figural</t>
        </is>
      </c>
      <c r="K15" s="17" t="inlineStr">
        <is>
          <t>easy</t>
        </is>
      </c>
      <c r="L15" s="18" t="n">
        <v>-1.2</v>
      </c>
      <c r="M15" s="18" t="n">
        <v>1</v>
      </c>
      <c r="N15" s="18" t="n">
        <v>0.33</v>
      </c>
      <c r="O15" s="19" t="inlineStr">
        <is>
          <t>FALSE</t>
        </is>
      </c>
      <c r="P15" s="16" t="n">
        <v>45</v>
      </c>
      <c r="Q15" s="16" t="inlineStr">
        <is>
          <t>image</t>
        </is>
      </c>
      <c r="R15" s="16" t="inlineStr">
        <is>
          <t>3-choice</t>
        </is>
      </c>
      <c r="S15" s="19" t="inlineStr">
        <is>
          <t>FALSE</t>
        </is>
      </c>
      <c r="T15" s="19" t="n"/>
      <c r="U15" s="21" t="inlineStr">
        <is>
          <t>What comes next in the pattern?</t>
        </is>
      </c>
      <c r="V15" s="21" t="inlineStr">
        <is>
          <t>[1 star] → [2 stars] → [3 stars] → [4 stars] → ?</t>
        </is>
      </c>
      <c r="W15" s="21" t="n"/>
      <c r="X15" s="21" t="inlineStr">
        <is>
          <t>[3 stars]</t>
        </is>
      </c>
      <c r="Y15" s="21" t="inlineStr">
        <is>
          <t>[6 stars]</t>
        </is>
      </c>
      <c r="Z15" s="21" t="inlineStr">
        <is>
          <t>[5 stars]</t>
        </is>
      </c>
      <c r="AA15" s="30" t="inlineStr">
        <is>
          <t>C</t>
        </is>
      </c>
      <c r="AB15" s="23" t="n">
        <v>3</v>
      </c>
      <c r="AC15" s="16" t="inlineStr">
        <is>
          <t>A=mid-series repeat; B=skip-one error</t>
        </is>
      </c>
      <c r="AD15" s="16" t="inlineStr">
        <is>
          <t>Gf_B1_009;Gf_B1_037</t>
        </is>
      </c>
      <c r="AE15" s="16" t="n">
        <v>0.2</v>
      </c>
      <c r="AF15" s="16" t="inlineStr">
        <is>
          <t>induction</t>
        </is>
      </c>
      <c r="AG15" s="16" t="inlineStr">
        <is>
          <t>no_dif</t>
        </is>
      </c>
      <c r="AH15" s="16" t="inlineStr">
        <is>
          <t>untested</t>
        </is>
      </c>
      <c r="AI15" s="16" t="n">
        <v>0</v>
      </c>
      <c r="AJ15" s="29" t="inlineStr">
        <is>
          <t>CORRECT_IDX + ENEMY_ADDED — content unchanged. [5 stars] moved to C. Soft enemy with 037.</t>
        </is>
      </c>
      <c r="AK15" s="25" t="inlineStr">
        <is>
          <t>Rule: +1 each step. Max count=5, renderable. Soft enemy with 037 post-fix.</t>
        </is>
      </c>
    </row>
    <row r="16" ht="52" customHeight="1">
      <c r="A16" s="41" t="inlineStr">
        <is>
          <t>Gf_B1_009</t>
        </is>
      </c>
      <c r="B16" s="42" t="inlineStr">
        <is>
          <t>Gf</t>
        </is>
      </c>
      <c r="C16" s="42" t="inlineStr">
        <is>
          <t>8-10</t>
        </is>
      </c>
      <c r="D16" s="42" t="inlineStr">
        <is>
          <t>concrete_operations</t>
        </is>
      </c>
      <c r="E16" s="42" t="inlineStr">
        <is>
          <t>Induction</t>
        </is>
      </c>
      <c r="F16" s="42" t="inlineStr">
        <is>
          <t>I</t>
        </is>
      </c>
      <c r="G16" s="42" t="inlineStr">
        <is>
          <t>series_linear</t>
        </is>
      </c>
      <c r="H16" s="42" t="inlineStr">
        <is>
          <t>number_of_elements</t>
        </is>
      </c>
      <c r="I16" s="42" t="n">
        <v>1</v>
      </c>
      <c r="J16" s="42" t="inlineStr">
        <is>
          <t>figural</t>
        </is>
      </c>
      <c r="K16" s="43" t="inlineStr">
        <is>
          <t>easy</t>
        </is>
      </c>
      <c r="L16" s="44" t="n">
        <v>-1.1</v>
      </c>
      <c r="M16" s="44" t="n">
        <v>1</v>
      </c>
      <c r="N16" s="44" t="n">
        <v>0.33</v>
      </c>
      <c r="O16" s="45" t="inlineStr">
        <is>
          <t>FALSE</t>
        </is>
      </c>
      <c r="P16" s="42" t="n">
        <v>45</v>
      </c>
      <c r="Q16" s="42" t="inlineStr">
        <is>
          <t>image</t>
        </is>
      </c>
      <c r="R16" s="42" t="inlineStr">
        <is>
          <t>3-choice</t>
        </is>
      </c>
      <c r="S16" s="45" t="inlineStr">
        <is>
          <t>FALSE</t>
        </is>
      </c>
      <c r="T16" s="45" t="n"/>
      <c r="U16" s="46" t="inlineStr">
        <is>
          <t>What comes next in the pattern?</t>
        </is>
      </c>
      <c r="V16" s="46" t="inlineStr">
        <is>
          <t>[5 circles] → [4 circles] → [3 circles] → [2 circles] → ?</t>
        </is>
      </c>
      <c r="W16" s="46" t="n"/>
      <c r="X16" s="46" t="inlineStr">
        <is>
          <t>[2 circles]</t>
        </is>
      </c>
      <c r="Y16" s="46" t="inlineStr">
        <is>
          <t>[4 circles]</t>
        </is>
      </c>
      <c r="Z16" s="46" t="inlineStr">
        <is>
          <t>[1 circle]</t>
        </is>
      </c>
      <c r="AA16" s="47" t="inlineStr">
        <is>
          <t>C</t>
        </is>
      </c>
      <c r="AB16" s="48" t="n">
        <v>3</v>
      </c>
      <c r="AC16" s="42" t="inlineStr">
        <is>
          <t>A=repeat last term; B=near-start term</t>
        </is>
      </c>
      <c r="AD16" s="42" t="inlineStr">
        <is>
          <t>Gf_B1_008</t>
        </is>
      </c>
      <c r="AE16" s="42" t="n">
        <v>0.2</v>
      </c>
      <c r="AF16" s="42" t="inlineStr">
        <is>
          <t>induction</t>
        </is>
      </c>
      <c r="AG16" s="42" t="inlineStr">
        <is>
          <t>no_dif</t>
        </is>
      </c>
      <c r="AH16" s="42" t="inlineStr">
        <is>
          <t>untested</t>
        </is>
      </c>
      <c r="AI16" s="42" t="n">
        <v>0</v>
      </c>
      <c r="AJ16" s="49" t="inlineStr">
        <is>
          <t>FLOOR_FIX + CORRECT_IDX — series raised 5→4→3→2→[1] (removes empty-box). [1 circle] placed at C.</t>
        </is>
      </c>
      <c r="AK16" s="50" t="inlineStr">
        <is>
          <t>Rule: −1 each step. Floor is 1 circle (no empty option). Hard enemy with 008.</t>
        </is>
      </c>
    </row>
    <row r="17" ht="52" customHeight="1">
      <c r="A17" s="15" t="inlineStr">
        <is>
          <t>Gf_B1_010</t>
        </is>
      </c>
      <c r="B17" s="16" t="inlineStr">
        <is>
          <t>Gf</t>
        </is>
      </c>
      <c r="C17" s="16" t="inlineStr">
        <is>
          <t>8-10</t>
        </is>
      </c>
      <c r="D17" s="16" t="inlineStr">
        <is>
          <t>concrete_operations</t>
        </is>
      </c>
      <c r="E17" s="16" t="inlineStr">
        <is>
          <t>Induction</t>
        </is>
      </c>
      <c r="F17" s="16" t="inlineStr">
        <is>
          <t>I</t>
        </is>
      </c>
      <c r="G17" s="16" t="inlineStr">
        <is>
          <t>series_linear</t>
        </is>
      </c>
      <c r="H17" s="16" t="inlineStr">
        <is>
          <t>shading_pattern</t>
        </is>
      </c>
      <c r="I17" s="16" t="n">
        <v>1</v>
      </c>
      <c r="J17" s="16" t="inlineStr">
        <is>
          <t>figural</t>
        </is>
      </c>
      <c r="K17" s="17" t="inlineStr">
        <is>
          <t>easy</t>
        </is>
      </c>
      <c r="L17" s="18" t="n">
        <v>-1.2</v>
      </c>
      <c r="M17" s="18" t="n">
        <v>1</v>
      </c>
      <c r="N17" s="18" t="n">
        <v>0.33</v>
      </c>
      <c r="O17" s="19" t="inlineStr">
        <is>
          <t>FALSE</t>
        </is>
      </c>
      <c r="P17" s="16" t="n">
        <v>45</v>
      </c>
      <c r="Q17" s="16" t="inlineStr">
        <is>
          <t>image</t>
        </is>
      </c>
      <c r="R17" s="16" t="inlineStr">
        <is>
          <t>3-choice</t>
        </is>
      </c>
      <c r="S17" s="19" t="inlineStr">
        <is>
          <t>FALSE</t>
        </is>
      </c>
      <c r="T17" s="19" t="n"/>
      <c r="U17" s="21" t="inlineStr">
        <is>
          <t>What comes next in the pattern?</t>
        </is>
      </c>
      <c r="V17" s="21" t="inlineStr">
        <is>
          <t>[filled circle] → [hollow circle] → [filled circle] → [hollow circle] → ?</t>
        </is>
      </c>
      <c r="W17" s="21" t="n"/>
      <c r="X17" s="21" t="inlineStr">
        <is>
          <t>[hollow circle]</t>
        </is>
      </c>
      <c r="Y17" s="21" t="inlineStr">
        <is>
          <t>[filled square]</t>
        </is>
      </c>
      <c r="Z17" s="21" t="inlineStr">
        <is>
          <t>[filled circle]</t>
        </is>
      </c>
      <c r="AA17" s="30" t="inlineStr">
        <is>
          <t>C</t>
        </is>
      </c>
      <c r="AB17" s="23" t="n">
        <v>3</v>
      </c>
      <c r="AC17" s="16" t="inlineStr">
        <is>
          <t>A=off-by-one (hollow); B=wrong shape</t>
        </is>
      </c>
      <c r="AD17" s="16" t="inlineStr">
        <is>
          <t>Gf_B1_011</t>
        </is>
      </c>
      <c r="AE17" s="16" t="n">
        <v>0.2</v>
      </c>
      <c r="AF17" s="16" t="inlineStr">
        <is>
          <t>induction</t>
        </is>
      </c>
      <c r="AG17" s="16" t="inlineStr">
        <is>
          <t>no_dif</t>
        </is>
      </c>
      <c r="AH17" s="16" t="inlineStr">
        <is>
          <t>untested</t>
        </is>
      </c>
      <c r="AI17" s="16" t="n">
        <v>0</v>
      </c>
      <c r="AJ17" s="29" t="inlineStr">
        <is>
          <t>CORRECT_IDX — content unchanged. [filled circle] moved to C.</t>
        </is>
      </c>
      <c r="AK17" s="25" t="inlineStr">
        <is>
          <t>Rule: alternating filled/hollow. Simple binary alternation.</t>
        </is>
      </c>
    </row>
    <row r="18" ht="52" customHeight="1">
      <c r="A18" s="31" t="inlineStr">
        <is>
          <t>Gf_B1_011</t>
        </is>
      </c>
      <c r="B18" s="32" t="inlineStr">
        <is>
          <t>Gf</t>
        </is>
      </c>
      <c r="C18" s="32" t="inlineStr">
        <is>
          <t>8-10</t>
        </is>
      </c>
      <c r="D18" s="32" t="inlineStr">
        <is>
          <t>concrete_operations</t>
        </is>
      </c>
      <c r="E18" s="32" t="inlineStr">
        <is>
          <t>Induction</t>
        </is>
      </c>
      <c r="F18" s="32" t="inlineStr">
        <is>
          <t>I</t>
        </is>
      </c>
      <c r="G18" s="32" t="inlineStr">
        <is>
          <t>analogy_figural</t>
        </is>
      </c>
      <c r="H18" s="32" t="inlineStr">
        <is>
          <t>shading_pattern</t>
        </is>
      </c>
      <c r="I18" s="32" t="n">
        <v>1</v>
      </c>
      <c r="J18" s="32" t="inlineStr">
        <is>
          <t>figural</t>
        </is>
      </c>
      <c r="K18" s="33" t="inlineStr">
        <is>
          <t>easy</t>
        </is>
      </c>
      <c r="L18" s="34" t="n">
        <v>-1.4</v>
      </c>
      <c r="M18" s="34" t="n">
        <v>1</v>
      </c>
      <c r="N18" s="34" t="n">
        <v>0.33</v>
      </c>
      <c r="O18" s="35" t="inlineStr">
        <is>
          <t>FALSE</t>
        </is>
      </c>
      <c r="P18" s="32" t="n">
        <v>45</v>
      </c>
      <c r="Q18" s="32" t="inlineStr">
        <is>
          <t>image</t>
        </is>
      </c>
      <c r="R18" s="32" t="inlineStr">
        <is>
          <t>3-choice</t>
        </is>
      </c>
      <c r="S18" s="35" t="inlineStr">
        <is>
          <t>FALSE</t>
        </is>
      </c>
      <c r="T18" s="35" t="n"/>
      <c r="U18" s="36" t="inlineStr">
        <is>
          <t>Filled square is to hollow square as filled triangle is to…?</t>
        </is>
      </c>
      <c r="V18" s="36" t="inlineStr">
        <is>
          <t>[filled square] : [hollow square] :: [filled triangle] : [?]</t>
        </is>
      </c>
      <c r="W18" s="36" t="n"/>
      <c r="X18" s="36" t="inlineStr">
        <is>
          <t>[filled triangle]</t>
        </is>
      </c>
      <c r="Y18" s="36" t="inlineStr">
        <is>
          <t>[hollow triangle]</t>
        </is>
      </c>
      <c r="Z18" s="36" t="inlineStr">
        <is>
          <t>[hollow square]</t>
        </is>
      </c>
      <c r="AA18" s="51" t="inlineStr">
        <is>
          <t>B</t>
        </is>
      </c>
      <c r="AB18" s="38" t="n">
        <v>2</v>
      </c>
      <c r="AC18" s="32" t="inlineStr">
        <is>
          <t>A=shading unchanged error; C=wrong shape carried over</t>
        </is>
      </c>
      <c r="AD18" s="32" t="inlineStr">
        <is>
          <t>Gf_B1_010;Gf_B1_012;Gf_B1_P03</t>
        </is>
      </c>
      <c r="AE18" s="32" t="n">
        <v>0.2</v>
      </c>
      <c r="AF18" s="32" t="inlineStr">
        <is>
          <t>induction</t>
        </is>
      </c>
      <c r="AG18" s="32" t="inlineStr">
        <is>
          <t>no_dif</t>
        </is>
      </c>
      <c r="AH18" s="32" t="inlineStr">
        <is>
          <t>untested</t>
        </is>
      </c>
      <c r="AI18" s="32" t="n">
        <v>0</v>
      </c>
      <c r="AJ18" s="39" t="inlineStr">
        <is>
          <t>VALIDITY_FIX — original item had arbitrary circle→square mapping with no extractable rule. Replaced with clean shading analogy (filled→hollow). Correct answer moved to B (index redistribution). Soft enemy with P03 (same shading rule).</t>
        </is>
      </c>
      <c r="AK18" s="40" t="inlineStr">
        <is>
          <t>Rule: filled→hollow applied across shapes. A=shading-unchanged error; C=wrong-shape carry error.</t>
        </is>
      </c>
    </row>
    <row r="19" ht="52" customHeight="1">
      <c r="A19" s="15" t="inlineStr">
        <is>
          <t>Gf_B1_012</t>
        </is>
      </c>
      <c r="B19" s="16" t="inlineStr">
        <is>
          <t>Gf</t>
        </is>
      </c>
      <c r="C19" s="16" t="inlineStr">
        <is>
          <t>8-10</t>
        </is>
      </c>
      <c r="D19" s="16" t="inlineStr">
        <is>
          <t>concrete_operations</t>
        </is>
      </c>
      <c r="E19" s="16" t="inlineStr">
        <is>
          <t>Induction</t>
        </is>
      </c>
      <c r="F19" s="16" t="inlineStr">
        <is>
          <t>I</t>
        </is>
      </c>
      <c r="G19" s="16" t="inlineStr">
        <is>
          <t>analogy_figural</t>
        </is>
      </c>
      <c r="H19" s="16" t="inlineStr">
        <is>
          <t>size_change</t>
        </is>
      </c>
      <c r="I19" s="16" t="n">
        <v>1</v>
      </c>
      <c r="J19" s="16" t="inlineStr">
        <is>
          <t>figural</t>
        </is>
      </c>
      <c r="K19" s="17" t="inlineStr">
        <is>
          <t>easy</t>
        </is>
      </c>
      <c r="L19" s="18" t="n">
        <v>-1.3</v>
      </c>
      <c r="M19" s="18" t="n">
        <v>1</v>
      </c>
      <c r="N19" s="18" t="n">
        <v>0.33</v>
      </c>
      <c r="O19" s="19" t="inlineStr">
        <is>
          <t>FALSE</t>
        </is>
      </c>
      <c r="P19" s="16" t="n">
        <v>45</v>
      </c>
      <c r="Q19" s="16" t="inlineStr">
        <is>
          <t>image</t>
        </is>
      </c>
      <c r="R19" s="16" t="inlineStr">
        <is>
          <t>3-choice</t>
        </is>
      </c>
      <c r="S19" s="19" t="inlineStr">
        <is>
          <t>FALSE</t>
        </is>
      </c>
      <c r="T19" s="20" t="inlineStr">
        <is>
          <t>GF_ANCHOR_B1</t>
        </is>
      </c>
      <c r="U19" s="21" t="inlineStr">
        <is>
          <t>Large star is to small star as large oval is to…?</t>
        </is>
      </c>
      <c r="V19" s="21" t="inlineStr">
        <is>
          <t>[large star] : [small star] :: [large oval] : [?]</t>
        </is>
      </c>
      <c r="W19" s="21" t="n"/>
      <c r="X19" s="21" t="inlineStr">
        <is>
          <t>[large oval]</t>
        </is>
      </c>
      <c r="Y19" s="21" t="inlineStr">
        <is>
          <t>[small star]</t>
        </is>
      </c>
      <c r="Z19" s="21" t="inlineStr">
        <is>
          <t>[small oval]</t>
        </is>
      </c>
      <c r="AA19" s="30" t="inlineStr">
        <is>
          <t>C</t>
        </is>
      </c>
      <c r="AB19" s="23" t="n">
        <v>3</v>
      </c>
      <c r="AC19" s="16" t="inlineStr">
        <is>
          <t>A=size unchanged; B=wrong shape carried over</t>
        </is>
      </c>
      <c r="AD19" s="16" t="inlineStr">
        <is>
          <t>Gf_B1_011</t>
        </is>
      </c>
      <c r="AE19" s="16" t="n">
        <v>0.2</v>
      </c>
      <c r="AF19" s="16" t="inlineStr">
        <is>
          <t>induction</t>
        </is>
      </c>
      <c r="AG19" s="16" t="inlineStr">
        <is>
          <t>no_dif</t>
        </is>
      </c>
      <c r="AH19" s="16" t="inlineStr">
        <is>
          <t>untested</t>
        </is>
      </c>
      <c r="AI19" s="16" t="n">
        <v>0</v>
      </c>
      <c r="AJ19" s="52" t="inlineStr">
        <is>
          <t>SPRITE_FIX — heart replaced with oval. Heart is not in geometric-shapes-sprite.svg token library (manual §4.1). Oval is an approved token. Correct answer moved to C (index redistribution). ANCHOR.</t>
        </is>
      </c>
      <c r="AK19" s="25" t="inlineStr">
        <is>
          <t>ANCHOR. Rule: large→small applied to new shape. All tokens now from approved sprite.</t>
        </is>
      </c>
    </row>
    <row r="20" ht="52" customHeight="1">
      <c r="A20" s="4" t="inlineStr">
        <is>
          <t>Gf_B1_013</t>
        </is>
      </c>
      <c r="B20" s="5" t="inlineStr">
        <is>
          <t>Gf</t>
        </is>
      </c>
      <c r="C20" s="5" t="inlineStr">
        <is>
          <t>8-10</t>
        </is>
      </c>
      <c r="D20" s="5" t="inlineStr">
        <is>
          <t>concrete_operations</t>
        </is>
      </c>
      <c r="E20" s="5" t="inlineStr">
        <is>
          <t>Induction</t>
        </is>
      </c>
      <c r="F20" s="5" t="inlineStr">
        <is>
          <t>I</t>
        </is>
      </c>
      <c r="G20" s="5" t="inlineStr">
        <is>
          <t>analogy_figural</t>
        </is>
      </c>
      <c r="H20" s="5" t="inlineStr">
        <is>
          <t>shading_pattern</t>
        </is>
      </c>
      <c r="I20" s="5" t="n">
        <v>1</v>
      </c>
      <c r="J20" s="5" t="inlineStr">
        <is>
          <t>figural</t>
        </is>
      </c>
      <c r="K20" s="6" t="inlineStr">
        <is>
          <t>easy</t>
        </is>
      </c>
      <c r="L20" s="7" t="n">
        <v>-1.15</v>
      </c>
      <c r="M20" s="7" t="n">
        <v>1</v>
      </c>
      <c r="N20" s="7" t="n">
        <v>0.33</v>
      </c>
      <c r="O20" s="8" t="inlineStr">
        <is>
          <t>FALSE</t>
        </is>
      </c>
      <c r="P20" s="5" t="n">
        <v>45</v>
      </c>
      <c r="Q20" s="5" t="inlineStr">
        <is>
          <t>image</t>
        </is>
      </c>
      <c r="R20" s="5" t="inlineStr">
        <is>
          <t>3-choice</t>
        </is>
      </c>
      <c r="S20" s="8" t="inlineStr">
        <is>
          <t>FALSE</t>
        </is>
      </c>
      <c r="T20" s="8" t="n"/>
      <c r="U20" s="10" t="inlineStr">
        <is>
          <t>Filled square is to hollow square as filled circle is to…?</t>
        </is>
      </c>
      <c r="V20" s="10" t="inlineStr">
        <is>
          <t>[filled square] : [hollow square] :: [filled circle] : [?]</t>
        </is>
      </c>
      <c r="W20" s="10" t="n"/>
      <c r="X20" s="10" t="inlineStr">
        <is>
          <t>[filled circle]</t>
        </is>
      </c>
      <c r="Y20" s="10" t="inlineStr">
        <is>
          <t>[hollow square]</t>
        </is>
      </c>
      <c r="Z20" s="10" t="inlineStr">
        <is>
          <t>[hollow circle]</t>
        </is>
      </c>
      <c r="AA20" s="53" t="inlineStr">
        <is>
          <t>C</t>
        </is>
      </c>
      <c r="AB20" s="12" t="n">
        <v>3</v>
      </c>
      <c r="AC20" s="5" t="inlineStr">
        <is>
          <t>A=shading unchanged; B=wrong shape</t>
        </is>
      </c>
      <c r="AD20" s="5" t="inlineStr">
        <is>
          <t>Gf_B1_014</t>
        </is>
      </c>
      <c r="AE20" s="5" t="n">
        <v>0.2</v>
      </c>
      <c r="AF20" s="5" t="inlineStr">
        <is>
          <t>induction</t>
        </is>
      </c>
      <c r="AG20" s="5" t="inlineStr">
        <is>
          <t>no_dif</t>
        </is>
      </c>
      <c r="AH20" s="5" t="inlineStr">
        <is>
          <t>untested</t>
        </is>
      </c>
      <c r="AI20" s="5" t="n">
        <v>0</v>
      </c>
      <c r="AJ20" s="27" t="inlineStr">
        <is>
          <t>CORRECT_IDX — content unchanged. [hollow circle] moved to C.</t>
        </is>
      </c>
      <c r="AK20" s="14" t="inlineStr">
        <is>
          <t>Rule: filled→hollow applied to new shape. Shading analogy.</t>
        </is>
      </c>
    </row>
    <row r="21" ht="52" customHeight="1">
      <c r="A21" s="15" t="inlineStr">
        <is>
          <t>Gf_B1_014</t>
        </is>
      </c>
      <c r="B21" s="16" t="inlineStr">
        <is>
          <t>Gf</t>
        </is>
      </c>
      <c r="C21" s="16" t="inlineStr">
        <is>
          <t>8-10</t>
        </is>
      </c>
      <c r="D21" s="16" t="inlineStr">
        <is>
          <t>concrete_operations</t>
        </is>
      </c>
      <c r="E21" s="16" t="inlineStr">
        <is>
          <t>Induction</t>
        </is>
      </c>
      <c r="F21" s="16" t="inlineStr">
        <is>
          <t>I</t>
        </is>
      </c>
      <c r="G21" s="16" t="inlineStr">
        <is>
          <t>odd_one_out_basic</t>
        </is>
      </c>
      <c r="H21" s="16" t="inlineStr">
        <is>
          <t>shape_change</t>
        </is>
      </c>
      <c r="I21" s="16" t="n">
        <v>1</v>
      </c>
      <c r="J21" s="16" t="inlineStr">
        <is>
          <t>figural</t>
        </is>
      </c>
      <c r="K21" s="17" t="inlineStr">
        <is>
          <t>easy</t>
        </is>
      </c>
      <c r="L21" s="18" t="n">
        <v>-1.3</v>
      </c>
      <c r="M21" s="18" t="n">
        <v>1</v>
      </c>
      <c r="N21" s="18" t="n">
        <v>0.33</v>
      </c>
      <c r="O21" s="19" t="inlineStr">
        <is>
          <t>FALSE</t>
        </is>
      </c>
      <c r="P21" s="16" t="n">
        <v>45</v>
      </c>
      <c r="Q21" s="16" t="inlineStr">
        <is>
          <t>image</t>
        </is>
      </c>
      <c r="R21" s="16" t="inlineStr">
        <is>
          <t>3-choice</t>
        </is>
      </c>
      <c r="S21" s="19" t="inlineStr">
        <is>
          <t>FALSE</t>
        </is>
      </c>
      <c r="T21" s="19" t="n"/>
      <c r="U21" s="21" t="inlineStr">
        <is>
          <t>Which shape does NOT belong with the others?</t>
        </is>
      </c>
      <c r="V21" s="21" t="inlineStr">
        <is>
          <t>[circle] | [circle] | [circle] | [square]</t>
        </is>
      </c>
      <c r="W21" s="21" t="n"/>
      <c r="X21" s="21" t="inlineStr">
        <is>
          <t>[square]</t>
        </is>
      </c>
      <c r="Y21" s="21" t="inlineStr">
        <is>
          <t>[circle (pos 1)]</t>
        </is>
      </c>
      <c r="Z21" s="21" t="inlineStr">
        <is>
          <t>[circle (pos 2)]</t>
        </is>
      </c>
      <c r="AA21" s="22" t="inlineStr">
        <is>
          <t>A</t>
        </is>
      </c>
      <c r="AB21" s="23" t="n">
        <v>1</v>
      </c>
      <c r="AC21" s="16" t="inlineStr">
        <is>
          <t>B/C=majority shape (belongs)</t>
        </is>
      </c>
      <c r="AD21" s="16" t="inlineStr">
        <is>
          <t>Gf_B1_015;Gf_B1_013</t>
        </is>
      </c>
      <c r="AE21" s="16" t="n">
        <v>0.2</v>
      </c>
      <c r="AF21" s="16" t="inlineStr">
        <is>
          <t>induction</t>
        </is>
      </c>
      <c r="AG21" s="16" t="inlineStr">
        <is>
          <t>no_dif</t>
        </is>
      </c>
      <c r="AH21" s="16" t="inlineStr">
        <is>
          <t>untested</t>
        </is>
      </c>
      <c r="AI21" s="16" t="n">
        <v>0</v>
      </c>
      <c r="AJ21" s="24" t="inlineStr">
        <is>
          <t>UNCHANGED</t>
        </is>
      </c>
      <c r="AK21" s="25" t="inlineStr">
        <is>
          <t>Rule: 3 same shape + 1 different. Simplest odd-one-out.</t>
        </is>
      </c>
    </row>
    <row r="22" ht="52" customHeight="1">
      <c r="A22" s="4" t="inlineStr">
        <is>
          <t>Gf_B1_015</t>
        </is>
      </c>
      <c r="B22" s="5" t="inlineStr">
        <is>
          <t>Gf</t>
        </is>
      </c>
      <c r="C22" s="5" t="inlineStr">
        <is>
          <t>8-10</t>
        </is>
      </c>
      <c r="D22" s="5" t="inlineStr">
        <is>
          <t>concrete_operations</t>
        </is>
      </c>
      <c r="E22" s="5" t="inlineStr">
        <is>
          <t>Induction</t>
        </is>
      </c>
      <c r="F22" s="5" t="inlineStr">
        <is>
          <t>I</t>
        </is>
      </c>
      <c r="G22" s="5" t="inlineStr">
        <is>
          <t>odd_one_out_basic</t>
        </is>
      </c>
      <c r="H22" s="5" t="inlineStr">
        <is>
          <t>size_change</t>
        </is>
      </c>
      <c r="I22" s="5" t="n">
        <v>1</v>
      </c>
      <c r="J22" s="5" t="inlineStr">
        <is>
          <t>figural</t>
        </is>
      </c>
      <c r="K22" s="6" t="inlineStr">
        <is>
          <t>easy</t>
        </is>
      </c>
      <c r="L22" s="7" t="n">
        <v>-1.1</v>
      </c>
      <c r="M22" s="7" t="n">
        <v>1</v>
      </c>
      <c r="N22" s="7" t="n">
        <v>0.33</v>
      </c>
      <c r="O22" s="8" t="inlineStr">
        <is>
          <t>FALSE</t>
        </is>
      </c>
      <c r="P22" s="5" t="n">
        <v>45</v>
      </c>
      <c r="Q22" s="5" t="inlineStr">
        <is>
          <t>image</t>
        </is>
      </c>
      <c r="R22" s="5" t="inlineStr">
        <is>
          <t>3-choice</t>
        </is>
      </c>
      <c r="S22" s="8" t="inlineStr">
        <is>
          <t>FALSE</t>
        </is>
      </c>
      <c r="T22" s="8" t="n"/>
      <c r="U22" s="10" t="inlineStr">
        <is>
          <t>Which shape does NOT belong with the others?</t>
        </is>
      </c>
      <c r="V22" s="10" t="inlineStr">
        <is>
          <t>[large circle] | [large circle] | [small circle] | [large circle]</t>
        </is>
      </c>
      <c r="W22" s="10" t="n"/>
      <c r="X22" s="10" t="inlineStr">
        <is>
          <t>[large circle (pos 1)]</t>
        </is>
      </c>
      <c r="Y22" s="10" t="inlineStr">
        <is>
          <t>[large circle (pos 4)]</t>
        </is>
      </c>
      <c r="Z22" s="10" t="inlineStr">
        <is>
          <t>[small circle]</t>
        </is>
      </c>
      <c r="AA22" s="53" t="inlineStr">
        <is>
          <t>C</t>
        </is>
      </c>
      <c r="AB22" s="12" t="n">
        <v>3</v>
      </c>
      <c r="AC22" s="5" t="inlineStr">
        <is>
          <t>A/B=majority size (belong)</t>
        </is>
      </c>
      <c r="AD22" s="5" t="inlineStr">
        <is>
          <t>Gf_B1_014</t>
        </is>
      </c>
      <c r="AE22" s="5" t="n">
        <v>0.2</v>
      </c>
      <c r="AF22" s="5" t="inlineStr">
        <is>
          <t>induction</t>
        </is>
      </c>
      <c r="AG22" s="5" t="inlineStr">
        <is>
          <t>no_dif</t>
        </is>
      </c>
      <c r="AH22" s="5" t="inlineStr">
        <is>
          <t>untested</t>
        </is>
      </c>
      <c r="AI22" s="5" t="n">
        <v>0</v>
      </c>
      <c r="AJ22" s="27" t="inlineStr">
        <is>
          <t>CORRECT_IDX — content unchanged. [small circle] moved to C.</t>
        </is>
      </c>
      <c r="AK22" s="14" t="inlineStr">
        <is>
          <t>Rule: 3 same size + 1 different. Size-based classification.</t>
        </is>
      </c>
    </row>
    <row r="23" ht="52" customHeight="1">
      <c r="A23" s="15" t="inlineStr">
        <is>
          <t>Gf_B1_016</t>
        </is>
      </c>
      <c r="B23" s="16" t="inlineStr">
        <is>
          <t>Gf</t>
        </is>
      </c>
      <c r="C23" s="16" t="inlineStr">
        <is>
          <t>8-10</t>
        </is>
      </c>
      <c r="D23" s="16" t="inlineStr">
        <is>
          <t>concrete_operations</t>
        </is>
      </c>
      <c r="E23" s="16" t="inlineStr">
        <is>
          <t>Induction</t>
        </is>
      </c>
      <c r="F23" s="16" t="inlineStr">
        <is>
          <t>I</t>
        </is>
      </c>
      <c r="G23" s="16" t="inlineStr">
        <is>
          <t>matrix_2x2</t>
        </is>
      </c>
      <c r="H23" s="16" t="inlineStr">
        <is>
          <t>size_change+shading_pattern</t>
        </is>
      </c>
      <c r="I23" s="16" t="n">
        <v>2</v>
      </c>
      <c r="J23" s="16" t="inlineStr">
        <is>
          <t>figural</t>
        </is>
      </c>
      <c r="K23" s="54" t="inlineStr">
        <is>
          <t>medium</t>
        </is>
      </c>
      <c r="L23" s="18" t="n">
        <v>-0.65</v>
      </c>
      <c r="M23" s="18" t="n">
        <v>1.1</v>
      </c>
      <c r="N23" s="18" t="n">
        <v>0.33</v>
      </c>
      <c r="O23" s="19" t="inlineStr">
        <is>
          <t>FALSE</t>
        </is>
      </c>
      <c r="P23" s="16" t="n">
        <v>45</v>
      </c>
      <c r="Q23" s="16" t="inlineStr">
        <is>
          <t>image</t>
        </is>
      </c>
      <c r="R23" s="16" t="inlineStr">
        <is>
          <t>3-choice</t>
        </is>
      </c>
      <c r="S23" s="19" t="inlineStr">
        <is>
          <t>FALSE</t>
        </is>
      </c>
      <c r="T23" s="19" t="n"/>
      <c r="U23" s="21" t="inlineStr">
        <is>
          <t>Which shape completes the grid?</t>
        </is>
      </c>
      <c r="V23" s="21" t="inlineStr">
        <is>
          <t>Row 1: [large filled square] | [small filled square]</t>
        </is>
      </c>
      <c r="W23" s="21" t="inlineStr">
        <is>
          <t>Row 2: [large hollow triangle] | [?]</t>
        </is>
      </c>
      <c r="X23" s="21" t="inlineStr">
        <is>
          <t>[small hollow triangle]</t>
        </is>
      </c>
      <c r="Y23" s="21" t="inlineStr">
        <is>
          <t>[large hollow triangle]</t>
        </is>
      </c>
      <c r="Z23" s="21" t="inlineStr">
        <is>
          <t>[small filled triangle]</t>
        </is>
      </c>
      <c r="AA23" s="22" t="inlineStr">
        <is>
          <t>A</t>
        </is>
      </c>
      <c r="AB23" s="23" t="n">
        <v>1</v>
      </c>
      <c r="AC23" s="16" t="inlineStr">
        <is>
          <t>B=size wrong; C=shading wrong</t>
        </is>
      </c>
      <c r="AD23" s="16" t="inlineStr">
        <is>
          <t>Gf_B1_017</t>
        </is>
      </c>
      <c r="AE23" s="16" t="n">
        <v>0.2</v>
      </c>
      <c r="AF23" s="16" t="inlineStr">
        <is>
          <t>induction</t>
        </is>
      </c>
      <c r="AG23" s="16" t="inlineStr">
        <is>
          <t>no_dif</t>
        </is>
      </c>
      <c r="AH23" s="16" t="inlineStr">
        <is>
          <t>untested</t>
        </is>
      </c>
      <c r="AI23" s="16" t="n">
        <v>0</v>
      </c>
      <c r="AJ23" s="24" t="inlineStr">
        <is>
          <t>UNCHANGED</t>
        </is>
      </c>
      <c r="AK23" s="25" t="inlineStr">
        <is>
          <t>Rule: col1=large→col2=small; row1=filled→row2=hollow. 2 dims, max Band 1 complexity.</t>
        </is>
      </c>
    </row>
    <row r="24" ht="52" customHeight="1">
      <c r="A24" s="4" t="inlineStr">
        <is>
          <t>Gf_B1_017</t>
        </is>
      </c>
      <c r="B24" s="5" t="inlineStr">
        <is>
          <t>Gf</t>
        </is>
      </c>
      <c r="C24" s="5" t="inlineStr">
        <is>
          <t>8-10</t>
        </is>
      </c>
      <c r="D24" s="5" t="inlineStr">
        <is>
          <t>concrete_operations</t>
        </is>
      </c>
      <c r="E24" s="5" t="inlineStr">
        <is>
          <t>Induction</t>
        </is>
      </c>
      <c r="F24" s="5" t="inlineStr">
        <is>
          <t>I</t>
        </is>
      </c>
      <c r="G24" s="5" t="inlineStr">
        <is>
          <t>matrix_2x2</t>
        </is>
      </c>
      <c r="H24" s="5" t="inlineStr">
        <is>
          <t>number_of_elements+size_change</t>
        </is>
      </c>
      <c r="I24" s="5" t="n">
        <v>2</v>
      </c>
      <c r="J24" s="5" t="inlineStr">
        <is>
          <t>figural</t>
        </is>
      </c>
      <c r="K24" s="55" t="inlineStr">
        <is>
          <t>medium</t>
        </is>
      </c>
      <c r="L24" s="7" t="n">
        <v>-0.55</v>
      </c>
      <c r="M24" s="7" t="n">
        <v>1.1</v>
      </c>
      <c r="N24" s="7" t="n">
        <v>0.33</v>
      </c>
      <c r="O24" s="8" t="inlineStr">
        <is>
          <t>FALSE</t>
        </is>
      </c>
      <c r="P24" s="5" t="n">
        <v>45</v>
      </c>
      <c r="Q24" s="5" t="inlineStr">
        <is>
          <t>image</t>
        </is>
      </c>
      <c r="R24" s="5" t="inlineStr">
        <is>
          <t>3-choice</t>
        </is>
      </c>
      <c r="S24" s="8" t="inlineStr">
        <is>
          <t>FALSE</t>
        </is>
      </c>
      <c r="T24" s="8" t="n"/>
      <c r="U24" s="10" t="inlineStr">
        <is>
          <t>Which shape completes the grid?</t>
        </is>
      </c>
      <c r="V24" s="10" t="inlineStr">
        <is>
          <t>Row 1: [2 large circles] | [1 large circle]</t>
        </is>
      </c>
      <c r="W24" s="10" t="inlineStr">
        <is>
          <t>Row 2: [2 small triangles] | [?]</t>
        </is>
      </c>
      <c r="X24" s="10" t="inlineStr">
        <is>
          <t>[1 small triangle]</t>
        </is>
      </c>
      <c r="Y24" s="10" t="inlineStr">
        <is>
          <t>[2 small triangles]</t>
        </is>
      </c>
      <c r="Z24" s="10" t="inlineStr">
        <is>
          <t>[1 large triangle]</t>
        </is>
      </c>
      <c r="AA24" s="11" t="inlineStr">
        <is>
          <t>A</t>
        </is>
      </c>
      <c r="AB24" s="12" t="n">
        <v>1</v>
      </c>
      <c r="AC24" s="5" t="inlineStr">
        <is>
          <t>B=count wrong; C=size wrong</t>
        </is>
      </c>
      <c r="AD24" s="5" t="inlineStr">
        <is>
          <t>Gf_B1_016</t>
        </is>
      </c>
      <c r="AE24" s="5" t="n">
        <v>0.2</v>
      </c>
      <c r="AF24" s="5" t="inlineStr">
        <is>
          <t>induction</t>
        </is>
      </c>
      <c r="AG24" s="5" t="inlineStr">
        <is>
          <t>no_dif</t>
        </is>
      </c>
      <c r="AH24" s="5" t="inlineStr">
        <is>
          <t>untested</t>
        </is>
      </c>
      <c r="AI24" s="5" t="n">
        <v>0</v>
      </c>
      <c r="AJ24" s="13" t="inlineStr">
        <is>
          <t>UNCHANGED — note: size label 'small' is canonical</t>
        </is>
      </c>
      <c r="AK24" s="14" t="inlineStr">
        <is>
          <t>Rule: col1=2 items, col2=1 item; row1=large, row2=small. 2-dim matrix.</t>
        </is>
      </c>
    </row>
    <row r="25" ht="52" customHeight="1">
      <c r="A25" s="15" t="inlineStr">
        <is>
          <t>Gf_B1_018</t>
        </is>
      </c>
      <c r="B25" s="16" t="inlineStr">
        <is>
          <t>Gf</t>
        </is>
      </c>
      <c r="C25" s="16" t="inlineStr">
        <is>
          <t>8-10</t>
        </is>
      </c>
      <c r="D25" s="16" t="inlineStr">
        <is>
          <t>concrete_operations</t>
        </is>
      </c>
      <c r="E25" s="16" t="inlineStr">
        <is>
          <t>Induction</t>
        </is>
      </c>
      <c r="F25" s="16" t="inlineStr">
        <is>
          <t>I</t>
        </is>
      </c>
      <c r="G25" s="16" t="inlineStr">
        <is>
          <t>matrix_2x2</t>
        </is>
      </c>
      <c r="H25" s="16" t="inlineStr">
        <is>
          <t>shape_change+shading_pattern</t>
        </is>
      </c>
      <c r="I25" s="16" t="n">
        <v>2</v>
      </c>
      <c r="J25" s="16" t="inlineStr">
        <is>
          <t>figural</t>
        </is>
      </c>
      <c r="K25" s="54" t="inlineStr">
        <is>
          <t>medium</t>
        </is>
      </c>
      <c r="L25" s="18" t="n">
        <v>-0.45</v>
      </c>
      <c r="M25" s="18" t="n">
        <v>1.1</v>
      </c>
      <c r="N25" s="18" t="n">
        <v>0.33</v>
      </c>
      <c r="O25" s="19" t="inlineStr">
        <is>
          <t>FALSE</t>
        </is>
      </c>
      <c r="P25" s="16" t="n">
        <v>45</v>
      </c>
      <c r="Q25" s="16" t="inlineStr">
        <is>
          <t>image</t>
        </is>
      </c>
      <c r="R25" s="16" t="inlineStr">
        <is>
          <t>3-choice</t>
        </is>
      </c>
      <c r="S25" s="19" t="inlineStr">
        <is>
          <t>FALSE</t>
        </is>
      </c>
      <c r="T25" s="20" t="inlineStr">
        <is>
          <t>GF_ANCHOR_B1</t>
        </is>
      </c>
      <c r="U25" s="21" t="inlineStr">
        <is>
          <t>Which shape completes the grid?</t>
        </is>
      </c>
      <c r="V25" s="21" t="inlineStr">
        <is>
          <t>Row 1: [filled circle] | [filled square]</t>
        </is>
      </c>
      <c r="W25" s="21" t="inlineStr">
        <is>
          <t>Row 2: [hollow circle] | [?]</t>
        </is>
      </c>
      <c r="X25" s="21" t="inlineStr">
        <is>
          <t>[hollow square]</t>
        </is>
      </c>
      <c r="Y25" s="21" t="inlineStr">
        <is>
          <t>[filled square]</t>
        </is>
      </c>
      <c r="Z25" s="21" t="inlineStr">
        <is>
          <t>[hollow circle]</t>
        </is>
      </c>
      <c r="AA25" s="22" t="inlineStr">
        <is>
          <t>A</t>
        </is>
      </c>
      <c r="AB25" s="23" t="n">
        <v>1</v>
      </c>
      <c r="AC25" s="16" t="inlineStr">
        <is>
          <t>B=shading wrong; C=shape wrong</t>
        </is>
      </c>
      <c r="AD25" s="16" t="inlineStr">
        <is>
          <t>Gf_B1_019</t>
        </is>
      </c>
      <c r="AE25" s="16" t="n">
        <v>0.2</v>
      </c>
      <c r="AF25" s="16" t="inlineStr">
        <is>
          <t>induction</t>
        </is>
      </c>
      <c r="AG25" s="16" t="inlineStr">
        <is>
          <t>no_dif</t>
        </is>
      </c>
      <c r="AH25" s="16" t="inlineStr">
        <is>
          <t>untested</t>
        </is>
      </c>
      <c r="AI25" s="16" t="n">
        <v>0</v>
      </c>
      <c r="AJ25" s="24" t="inlineStr">
        <is>
          <t>UNCHANGED — anchor item</t>
        </is>
      </c>
      <c r="AK25" s="25" t="inlineStr">
        <is>
          <t>ANCHOR. Rule: col1=circle, col2=square; row1=filled, row2=hollow.</t>
        </is>
      </c>
    </row>
    <row r="26" ht="52" customHeight="1">
      <c r="A26" s="4" t="inlineStr">
        <is>
          <t>Gf_B1_019</t>
        </is>
      </c>
      <c r="B26" s="5" t="inlineStr">
        <is>
          <t>Gf</t>
        </is>
      </c>
      <c r="C26" s="5" t="inlineStr">
        <is>
          <t>8-10</t>
        </is>
      </c>
      <c r="D26" s="5" t="inlineStr">
        <is>
          <t>concrete_operations</t>
        </is>
      </c>
      <c r="E26" s="5" t="inlineStr">
        <is>
          <t>Induction</t>
        </is>
      </c>
      <c r="F26" s="5" t="inlineStr">
        <is>
          <t>I</t>
        </is>
      </c>
      <c r="G26" s="5" t="inlineStr">
        <is>
          <t>matrix_2x2</t>
        </is>
      </c>
      <c r="H26" s="5" t="inlineStr">
        <is>
          <t>number_of_elements+shading_pattern</t>
        </is>
      </c>
      <c r="I26" s="5" t="n">
        <v>2</v>
      </c>
      <c r="J26" s="5" t="inlineStr">
        <is>
          <t>figural</t>
        </is>
      </c>
      <c r="K26" s="55" t="inlineStr">
        <is>
          <t>medium</t>
        </is>
      </c>
      <c r="L26" s="7" t="n">
        <v>-0.35</v>
      </c>
      <c r="M26" s="7" t="n">
        <v>1.1</v>
      </c>
      <c r="N26" s="7" t="n">
        <v>0.33</v>
      </c>
      <c r="O26" s="8" t="inlineStr">
        <is>
          <t>FALSE</t>
        </is>
      </c>
      <c r="P26" s="5" t="n">
        <v>45</v>
      </c>
      <c r="Q26" s="5" t="inlineStr">
        <is>
          <t>image</t>
        </is>
      </c>
      <c r="R26" s="5" t="inlineStr">
        <is>
          <t>3-choice</t>
        </is>
      </c>
      <c r="S26" s="8" t="inlineStr">
        <is>
          <t>FALSE</t>
        </is>
      </c>
      <c r="T26" s="8" t="n"/>
      <c r="U26" s="10" t="inlineStr">
        <is>
          <t>Which shape completes the grid?</t>
        </is>
      </c>
      <c r="V26" s="10" t="inlineStr">
        <is>
          <t>Row 1: [1 filled star] | [2 filled stars]</t>
        </is>
      </c>
      <c r="W26" s="10" t="inlineStr">
        <is>
          <t>Row 2: [1 hollow star] | [?]</t>
        </is>
      </c>
      <c r="X26" s="10" t="inlineStr">
        <is>
          <t>[2 hollow stars]</t>
        </is>
      </c>
      <c r="Y26" s="10" t="inlineStr">
        <is>
          <t>[1 hollow star]</t>
        </is>
      </c>
      <c r="Z26" s="10" t="inlineStr">
        <is>
          <t>[2 filled stars]</t>
        </is>
      </c>
      <c r="AA26" s="11" t="inlineStr">
        <is>
          <t>A</t>
        </is>
      </c>
      <c r="AB26" s="12" t="n">
        <v>1</v>
      </c>
      <c r="AC26" s="5" t="inlineStr">
        <is>
          <t>B=count wrong; C=shading wrong</t>
        </is>
      </c>
      <c r="AD26" s="5" t="inlineStr">
        <is>
          <t>Gf_B1_018</t>
        </is>
      </c>
      <c r="AE26" s="5" t="n">
        <v>0.2</v>
      </c>
      <c r="AF26" s="5" t="inlineStr">
        <is>
          <t>induction</t>
        </is>
      </c>
      <c r="AG26" s="5" t="inlineStr">
        <is>
          <t>no_dif</t>
        </is>
      </c>
      <c r="AH26" s="5" t="inlineStr">
        <is>
          <t>untested</t>
        </is>
      </c>
      <c r="AI26" s="5" t="n">
        <v>0</v>
      </c>
      <c r="AJ26" s="13" t="inlineStr">
        <is>
          <t>UNCHANGED</t>
        </is>
      </c>
      <c r="AK26" s="14" t="inlineStr">
        <is>
          <t>Rule: col1=1, col2=2; row1=filled, row2=hollow.</t>
        </is>
      </c>
    </row>
    <row r="27" ht="52" customHeight="1">
      <c r="A27" s="31" t="inlineStr">
        <is>
          <t>Gf_B1_020</t>
        </is>
      </c>
      <c r="B27" s="32" t="inlineStr">
        <is>
          <t>Gf</t>
        </is>
      </c>
      <c r="C27" s="32" t="inlineStr">
        <is>
          <t>8-10</t>
        </is>
      </c>
      <c r="D27" s="32" t="inlineStr">
        <is>
          <t>concrete_operations</t>
        </is>
      </c>
      <c r="E27" s="32" t="inlineStr">
        <is>
          <t>Induction</t>
        </is>
      </c>
      <c r="F27" s="32" t="inlineStr">
        <is>
          <t>I</t>
        </is>
      </c>
      <c r="G27" s="32" t="inlineStr">
        <is>
          <t>series_linear</t>
        </is>
      </c>
      <c r="H27" s="32" t="inlineStr">
        <is>
          <t>shading_pattern</t>
        </is>
      </c>
      <c r="I27" s="32" t="n">
        <v>1</v>
      </c>
      <c r="J27" s="32" t="inlineStr">
        <is>
          <t>figural</t>
        </is>
      </c>
      <c r="K27" s="56" t="inlineStr">
        <is>
          <t>medium</t>
        </is>
      </c>
      <c r="L27" s="34" t="n">
        <v>-0.6</v>
      </c>
      <c r="M27" s="34" t="n">
        <v>1.1</v>
      </c>
      <c r="N27" s="34" t="n">
        <v>0.33</v>
      </c>
      <c r="O27" s="35" t="inlineStr">
        <is>
          <t>FALSE</t>
        </is>
      </c>
      <c r="P27" s="32" t="n">
        <v>45</v>
      </c>
      <c r="Q27" s="32" t="inlineStr">
        <is>
          <t>image</t>
        </is>
      </c>
      <c r="R27" s="32" t="inlineStr">
        <is>
          <t>3-choice</t>
        </is>
      </c>
      <c r="S27" s="35" t="inlineStr">
        <is>
          <t>FALSE</t>
        </is>
      </c>
      <c r="T27" s="35" t="n"/>
      <c r="U27" s="36" t="inlineStr">
        <is>
          <t>What comes next in the pattern?</t>
        </is>
      </c>
      <c r="V27" s="36" t="inlineStr">
        <is>
          <t>[hollow circle] → [hollow square] → [filled circle] → [hollow square] → ?</t>
        </is>
      </c>
      <c r="W27" s="36" t="n"/>
      <c r="X27" s="36" t="inlineStr">
        <is>
          <t>[hollow triangle]</t>
        </is>
      </c>
      <c r="Y27" s="36" t="inlineStr">
        <is>
          <t>[filled square]</t>
        </is>
      </c>
      <c r="Z27" s="36" t="inlineStr">
        <is>
          <t>[hollow circle]</t>
        </is>
      </c>
      <c r="AA27" s="51" t="inlineStr">
        <is>
          <t>B</t>
        </is>
      </c>
      <c r="AB27" s="38" t="n">
        <v>2</v>
      </c>
      <c r="AC27" s="32" t="inlineStr">
        <is>
          <t>A=wrong shape; C=repeats earlier term with wrong position in cycle</t>
        </is>
      </c>
      <c r="AD27" s="32" t="inlineStr">
        <is>
          <t>Gf_B1_021</t>
        </is>
      </c>
      <c r="AE27" s="32" t="n">
        <v>0.2</v>
      </c>
      <c r="AF27" s="32" t="inlineStr">
        <is>
          <t>induction</t>
        </is>
      </c>
      <c r="AG27" s="32" t="inlineStr">
        <is>
          <t>no_dif</t>
        </is>
      </c>
      <c r="AH27" s="32" t="inlineStr">
        <is>
          <t>untested</t>
        </is>
      </c>
      <c r="AI27" s="32" t="n">
        <v>0</v>
      </c>
      <c r="AJ27" s="39" t="inlineStr">
        <is>
          <t>VALIDITY_FIX — original series had 3/4 identical hollow-square cells (visually monotonous; pattern trivially visible). Shapes now cycle (circle, square, circle, square…) while fill alternates HH-F. Correct answer moved to B (index redistribution).</t>
        </is>
      </c>
      <c r="AK27" s="40" t="inlineStr">
        <is>
          <t>Rule: fill cycles hollow-hollow-filled; shapes alternate circle/square. B=filled square (fill wrong in HH cycle); C=hollow circle (wrong position in sequence).</t>
        </is>
      </c>
    </row>
    <row r="28" ht="52" customHeight="1">
      <c r="A28" s="31" t="inlineStr">
        <is>
          <t>Gf_B1_021</t>
        </is>
      </c>
      <c r="B28" s="32" t="inlineStr">
        <is>
          <t>Gf</t>
        </is>
      </c>
      <c r="C28" s="32" t="inlineStr">
        <is>
          <t>8-10</t>
        </is>
      </c>
      <c r="D28" s="32" t="inlineStr">
        <is>
          <t>concrete_operations</t>
        </is>
      </c>
      <c r="E28" s="32" t="inlineStr">
        <is>
          <t>Induction</t>
        </is>
      </c>
      <c r="F28" s="32" t="inlineStr">
        <is>
          <t>I</t>
        </is>
      </c>
      <c r="G28" s="32" t="inlineStr">
        <is>
          <t>series_linear</t>
        </is>
      </c>
      <c r="H28" s="32" t="inlineStr">
        <is>
          <t>size_change+number_of_elements</t>
        </is>
      </c>
      <c r="I28" s="32" t="n">
        <v>2</v>
      </c>
      <c r="J28" s="32" t="inlineStr">
        <is>
          <t>figural</t>
        </is>
      </c>
      <c r="K28" s="56" t="inlineStr">
        <is>
          <t>medium</t>
        </is>
      </c>
      <c r="L28" s="34" t="n">
        <v>-0.5</v>
      </c>
      <c r="M28" s="34" t="n">
        <v>1.1</v>
      </c>
      <c r="N28" s="34" t="n">
        <v>0.33</v>
      </c>
      <c r="O28" s="35" t="inlineStr">
        <is>
          <t>FALSE</t>
        </is>
      </c>
      <c r="P28" s="32" t="n">
        <v>45</v>
      </c>
      <c r="Q28" s="32" t="inlineStr">
        <is>
          <t>image</t>
        </is>
      </c>
      <c r="R28" s="32" t="inlineStr">
        <is>
          <t>3-choice</t>
        </is>
      </c>
      <c r="S28" s="35" t="inlineStr">
        <is>
          <t>FALSE</t>
        </is>
      </c>
      <c r="T28" s="35" t="n"/>
      <c r="U28" s="36" t="inlineStr">
        <is>
          <t>What comes next in the pattern?</t>
        </is>
      </c>
      <c r="V28" s="36" t="inlineStr">
        <is>
          <t>[1 small triangle] → [2 small triangles] → [1 large triangle] → [2 large triangles] → ?</t>
        </is>
      </c>
      <c r="W28" s="36" t="n"/>
      <c r="X28" s="36" t="inlineStr">
        <is>
          <t>[2 large triangles]</t>
        </is>
      </c>
      <c r="Y28" s="36" t="inlineStr">
        <is>
          <t>[1 small triangle]</t>
        </is>
      </c>
      <c r="Z28" s="36" t="inlineStr">
        <is>
          <t>[3 large triangles]</t>
        </is>
      </c>
      <c r="AA28" s="51" t="inlineStr">
        <is>
          <t>B</t>
        </is>
      </c>
      <c r="AB28" s="38" t="n">
        <v>2</v>
      </c>
      <c r="AC28" s="32" t="inlineStr">
        <is>
          <t>A=repeats last term; C=adds wrong count</t>
        </is>
      </c>
      <c r="AD28" s="32" t="inlineStr">
        <is>
          <t>Gf_B1_020</t>
        </is>
      </c>
      <c r="AE28" s="32" t="n">
        <v>0.2</v>
      </c>
      <c r="AF28" s="32" t="inlineStr">
        <is>
          <t>induction</t>
        </is>
      </c>
      <c r="AG28" s="32" t="inlineStr">
        <is>
          <t>no_dif</t>
        </is>
      </c>
      <c r="AH28" s="32" t="inlineStr">
        <is>
          <t>untested</t>
        </is>
      </c>
      <c r="AI28" s="32" t="n">
        <v>0</v>
      </c>
      <c r="AJ28" s="39" t="inlineStr">
        <is>
          <t>VALIDITY_FIX — original correct answer was [1 very large triangle] (undefined 5th size level, not in token spec). Fixed: 4-item cycle restarts, so correct answer is [1 small triangle]. 'Very large' option removed entirely. Correct answer moved to B (index redistribution).</t>
        </is>
      </c>
      <c r="AK28" s="40" t="inlineStr">
        <is>
          <t>Rule: 4-item cycle (1s, 2s, 1L, 2L) then restarts. Answer=cycle restart. Both size levels (small, large) are canonical tokens.</t>
        </is>
      </c>
    </row>
    <row r="29" ht="52" customHeight="1">
      <c r="A29" s="15" t="inlineStr">
        <is>
          <t>Gf_B1_022</t>
        </is>
      </c>
      <c r="B29" s="16" t="inlineStr">
        <is>
          <t>Gf</t>
        </is>
      </c>
      <c r="C29" s="16" t="inlineStr">
        <is>
          <t>8-10</t>
        </is>
      </c>
      <c r="D29" s="16" t="inlineStr">
        <is>
          <t>concrete_operations</t>
        </is>
      </c>
      <c r="E29" s="16" t="inlineStr">
        <is>
          <t>Induction</t>
        </is>
      </c>
      <c r="F29" s="16" t="inlineStr">
        <is>
          <t>I</t>
        </is>
      </c>
      <c r="G29" s="16" t="inlineStr">
        <is>
          <t>series_linear</t>
        </is>
      </c>
      <c r="H29" s="16" t="inlineStr">
        <is>
          <t>shape_change</t>
        </is>
      </c>
      <c r="I29" s="16" t="n">
        <v>1</v>
      </c>
      <c r="J29" s="16" t="inlineStr">
        <is>
          <t>figural</t>
        </is>
      </c>
      <c r="K29" s="54" t="inlineStr">
        <is>
          <t>medium</t>
        </is>
      </c>
      <c r="L29" s="18" t="n">
        <v>-0.4</v>
      </c>
      <c r="M29" s="18" t="n">
        <v>1.1</v>
      </c>
      <c r="N29" s="18" t="n">
        <v>0.33</v>
      </c>
      <c r="O29" s="19" t="inlineStr">
        <is>
          <t>FALSE</t>
        </is>
      </c>
      <c r="P29" s="16" t="n">
        <v>45</v>
      </c>
      <c r="Q29" s="16" t="inlineStr">
        <is>
          <t>image</t>
        </is>
      </c>
      <c r="R29" s="16" t="inlineStr">
        <is>
          <t>3-choice</t>
        </is>
      </c>
      <c r="S29" s="19" t="inlineStr">
        <is>
          <t>FALSE</t>
        </is>
      </c>
      <c r="T29" s="19" t="n"/>
      <c r="U29" s="21" t="inlineStr">
        <is>
          <t>What comes next in the pattern?</t>
        </is>
      </c>
      <c r="V29" s="21" t="inlineStr">
        <is>
          <t>[circle] → [square] → [triangle] → [circle] → ?</t>
        </is>
      </c>
      <c r="W29" s="21" t="n"/>
      <c r="X29" s="21" t="inlineStr">
        <is>
          <t>[circle]</t>
        </is>
      </c>
      <c r="Y29" s="21" t="inlineStr">
        <is>
          <t>[triangle]</t>
        </is>
      </c>
      <c r="Z29" s="21" t="inlineStr">
        <is>
          <t>[square]</t>
        </is>
      </c>
      <c r="AA29" s="30" t="inlineStr">
        <is>
          <t>C</t>
        </is>
      </c>
      <c r="AB29" s="23" t="n">
        <v>3</v>
      </c>
      <c r="AC29" s="16" t="inlineStr">
        <is>
          <t>A=first shape in cycle (skips one); B=last shown shape</t>
        </is>
      </c>
      <c r="AD29" s="16" t="inlineStr">
        <is>
          <t>Gf_B1_023</t>
        </is>
      </c>
      <c r="AE29" s="16" t="n">
        <v>0.2</v>
      </c>
      <c r="AF29" s="16" t="inlineStr">
        <is>
          <t>induction</t>
        </is>
      </c>
      <c r="AG29" s="16" t="inlineStr">
        <is>
          <t>no_dif</t>
        </is>
      </c>
      <c r="AH29" s="16" t="inlineStr">
        <is>
          <t>untested</t>
        </is>
      </c>
      <c r="AI29" s="16" t="n">
        <v>0</v>
      </c>
      <c r="AJ29" s="29" t="inlineStr">
        <is>
          <t>CORRECT_IDX — content unchanged. Correct answer moved from A to C (index redistribution: was position 1, now position 3).</t>
        </is>
      </c>
      <c r="AK29" s="25" t="inlineStr">
        <is>
          <t>Rule: 3-shape cycle circle→square→triangle. Must identify period.</t>
        </is>
      </c>
    </row>
    <row r="30" ht="52" customHeight="1">
      <c r="A30" s="57" t="inlineStr">
        <is>
          <t>Gf_B1_023</t>
        </is>
      </c>
      <c r="B30" s="58" t="inlineStr">
        <is>
          <t>Gf</t>
        </is>
      </c>
      <c r="C30" s="58" t="inlineStr">
        <is>
          <t>8-10</t>
        </is>
      </c>
      <c r="D30" s="58" t="inlineStr">
        <is>
          <t>concrete_operations</t>
        </is>
      </c>
      <c r="E30" s="58" t="inlineStr">
        <is>
          <t>Induction</t>
        </is>
      </c>
      <c r="F30" s="58" t="inlineStr">
        <is>
          <t>I</t>
        </is>
      </c>
      <c r="G30" s="58" t="inlineStr">
        <is>
          <t>series_linear</t>
        </is>
      </c>
      <c r="H30" s="58" t="inlineStr">
        <is>
          <t>size_change</t>
        </is>
      </c>
      <c r="I30" s="58" t="n">
        <v>1</v>
      </c>
      <c r="J30" s="58" t="inlineStr">
        <is>
          <t>figural</t>
        </is>
      </c>
      <c r="K30" s="59" t="inlineStr">
        <is>
          <t>medium</t>
        </is>
      </c>
      <c r="L30" s="60" t="n">
        <v>-0.3</v>
      </c>
      <c r="M30" s="60" t="n">
        <v>1.1</v>
      </c>
      <c r="N30" s="60" t="n">
        <v>0.33</v>
      </c>
      <c r="O30" s="61" t="inlineStr">
        <is>
          <t>FALSE</t>
        </is>
      </c>
      <c r="P30" s="58" t="n">
        <v>45</v>
      </c>
      <c r="Q30" s="58" t="inlineStr">
        <is>
          <t>image</t>
        </is>
      </c>
      <c r="R30" s="58" t="inlineStr">
        <is>
          <t>3-choice</t>
        </is>
      </c>
      <c r="S30" s="61" t="inlineStr">
        <is>
          <t>FALSE</t>
        </is>
      </c>
      <c r="T30" s="61" t="n"/>
      <c r="U30" s="62" t="inlineStr">
        <is>
          <t>What comes next in the pattern?</t>
        </is>
      </c>
      <c r="V30" s="62" t="inlineStr">
        <is>
          <t>[tiny circle] → [small circle] → [medium circle] → [large circle] → ?</t>
        </is>
      </c>
      <c r="W30" s="62" t="n"/>
      <c r="X30" s="62" t="inlineStr">
        <is>
          <t>[XL circle]</t>
        </is>
      </c>
      <c r="Y30" s="62" t="inlineStr">
        <is>
          <t>[large circle]</t>
        </is>
      </c>
      <c r="Z30" s="62" t="inlineStr">
        <is>
          <t>[small circle]</t>
        </is>
      </c>
      <c r="AA30" s="63" t="inlineStr">
        <is>
          <t>A</t>
        </is>
      </c>
      <c r="AB30" s="64" t="n">
        <v>1</v>
      </c>
      <c r="AC30" s="58" t="inlineStr">
        <is>
          <t>B=repeats last term; C=near-start term</t>
        </is>
      </c>
      <c r="AD30" s="58" t="inlineStr">
        <is>
          <t>Gf_B1_022</t>
        </is>
      </c>
      <c r="AE30" s="58" t="n">
        <v>0.2</v>
      </c>
      <c r="AF30" s="58" t="inlineStr">
        <is>
          <t>induction</t>
        </is>
      </c>
      <c r="AG30" s="58" t="inlineStr">
        <is>
          <t>no_dif</t>
        </is>
      </c>
      <c r="AH30" s="58" t="inlineStr">
        <is>
          <t>untested</t>
        </is>
      </c>
      <c r="AI30" s="58" t="n">
        <v>0</v>
      </c>
      <c r="AJ30" s="65" t="inlineStr">
        <is>
          <t>RENDER_FIX — original series (1→2→4→8→[16 circles]) required rendering 16 discrete objects; answer option had 16 unrenderable circles. Rule of ×2 growth now encoded in shape SIZE (tiny→small→medium→large→XL). No counting required. Same difficulty profile preserved.</t>
        </is>
      </c>
      <c r="AK30" s="66" t="inlineStr">
        <is>
          <t>Rule: size doubles each step (proxy for ×2), encoded as size levels. All 5 canonical size tokens used.</t>
        </is>
      </c>
    </row>
    <row r="31" ht="52" customHeight="1">
      <c r="A31" s="15" t="inlineStr">
        <is>
          <t>Gf_B1_024</t>
        </is>
      </c>
      <c r="B31" s="16" t="inlineStr">
        <is>
          <t>Gf</t>
        </is>
      </c>
      <c r="C31" s="16" t="inlineStr">
        <is>
          <t>8-10</t>
        </is>
      </c>
      <c r="D31" s="16" t="inlineStr">
        <is>
          <t>concrete_operations</t>
        </is>
      </c>
      <c r="E31" s="16" t="inlineStr">
        <is>
          <t>Induction</t>
        </is>
      </c>
      <c r="F31" s="16" t="inlineStr">
        <is>
          <t>I</t>
        </is>
      </c>
      <c r="G31" s="16" t="inlineStr">
        <is>
          <t>analogy_figural</t>
        </is>
      </c>
      <c r="H31" s="16" t="inlineStr">
        <is>
          <t>number_of_elements</t>
        </is>
      </c>
      <c r="I31" s="16" t="n">
        <v>1</v>
      </c>
      <c r="J31" s="16" t="inlineStr">
        <is>
          <t>figural</t>
        </is>
      </c>
      <c r="K31" s="54" t="inlineStr">
        <is>
          <t>medium</t>
        </is>
      </c>
      <c r="L31" s="18" t="n">
        <v>-0.65</v>
      </c>
      <c r="M31" s="18" t="n">
        <v>1.1</v>
      </c>
      <c r="N31" s="18" t="n">
        <v>0.33</v>
      </c>
      <c r="O31" s="19" t="inlineStr">
        <is>
          <t>FALSE</t>
        </is>
      </c>
      <c r="P31" s="16" t="n">
        <v>45</v>
      </c>
      <c r="Q31" s="16" t="inlineStr">
        <is>
          <t>image</t>
        </is>
      </c>
      <c r="R31" s="16" t="inlineStr">
        <is>
          <t>3-choice</t>
        </is>
      </c>
      <c r="S31" s="19" t="inlineStr">
        <is>
          <t>FALSE</t>
        </is>
      </c>
      <c r="T31" s="19" t="n"/>
      <c r="U31" s="21" t="inlineStr">
        <is>
          <t>One circle is to two circles as one square is to…?</t>
        </is>
      </c>
      <c r="V31" s="21" t="inlineStr">
        <is>
          <t>[1 circle] : [2 circles] :: [1 square] : [?]</t>
        </is>
      </c>
      <c r="W31" s="21" t="n"/>
      <c r="X31" s="21" t="inlineStr">
        <is>
          <t>[3 squares]</t>
        </is>
      </c>
      <c r="Y31" s="21" t="inlineStr">
        <is>
          <t>[1 square]</t>
        </is>
      </c>
      <c r="Z31" s="21" t="inlineStr">
        <is>
          <t>[2 squares]</t>
        </is>
      </c>
      <c r="AA31" s="30" t="inlineStr">
        <is>
          <t>C</t>
        </is>
      </c>
      <c r="AB31" s="23" t="n">
        <v>3</v>
      </c>
      <c r="AC31" s="16" t="inlineStr">
        <is>
          <t>A=overcounts; B=unchanged</t>
        </is>
      </c>
      <c r="AD31" s="16" t="inlineStr">
        <is>
          <t>Gf_B1_025</t>
        </is>
      </c>
      <c r="AE31" s="16" t="n">
        <v>0.2</v>
      </c>
      <c r="AF31" s="16" t="inlineStr">
        <is>
          <t>induction</t>
        </is>
      </c>
      <c r="AG31" s="16" t="inlineStr">
        <is>
          <t>no_dif</t>
        </is>
      </c>
      <c r="AH31" s="16" t="inlineStr">
        <is>
          <t>untested</t>
        </is>
      </c>
      <c r="AI31" s="16" t="n">
        <v>0</v>
      </c>
      <c r="AJ31" s="29" t="inlineStr">
        <is>
          <t>CORRECT_IDX — content unchanged. Correct answer moved from A to C (redistribution).</t>
        </is>
      </c>
      <c r="AK31" s="25" t="inlineStr">
        <is>
          <t>Rule: ×2 count applied across shapes. Max count=2.</t>
        </is>
      </c>
    </row>
    <row r="32" ht="52" customHeight="1">
      <c r="A32" s="4" t="inlineStr">
        <is>
          <t>Gf_B1_025</t>
        </is>
      </c>
      <c r="B32" s="5" t="inlineStr">
        <is>
          <t>Gf</t>
        </is>
      </c>
      <c r="C32" s="5" t="inlineStr">
        <is>
          <t>8-10</t>
        </is>
      </c>
      <c r="D32" s="5" t="inlineStr">
        <is>
          <t>concrete_operations</t>
        </is>
      </c>
      <c r="E32" s="5" t="inlineStr">
        <is>
          <t>Induction</t>
        </is>
      </c>
      <c r="F32" s="5" t="inlineStr">
        <is>
          <t>I</t>
        </is>
      </c>
      <c r="G32" s="5" t="inlineStr">
        <is>
          <t>analogy_figural</t>
        </is>
      </c>
      <c r="H32" s="5" t="inlineStr">
        <is>
          <t>shading_pattern+size_change</t>
        </is>
      </c>
      <c r="I32" s="5" t="n">
        <v>2</v>
      </c>
      <c r="J32" s="5" t="inlineStr">
        <is>
          <t>figural</t>
        </is>
      </c>
      <c r="K32" s="55" t="inlineStr">
        <is>
          <t>medium</t>
        </is>
      </c>
      <c r="L32" s="7" t="n">
        <v>-0.55</v>
      </c>
      <c r="M32" s="7" t="n">
        <v>1.1</v>
      </c>
      <c r="N32" s="7" t="n">
        <v>0.33</v>
      </c>
      <c r="O32" s="8" t="inlineStr">
        <is>
          <t>FALSE</t>
        </is>
      </c>
      <c r="P32" s="5" t="n">
        <v>45</v>
      </c>
      <c r="Q32" s="5" t="inlineStr">
        <is>
          <t>image</t>
        </is>
      </c>
      <c r="R32" s="5" t="inlineStr">
        <is>
          <t>3-choice</t>
        </is>
      </c>
      <c r="S32" s="8" t="inlineStr">
        <is>
          <t>FALSE</t>
        </is>
      </c>
      <c r="T32" s="9" t="inlineStr">
        <is>
          <t>GF_ANCHOR_B1</t>
        </is>
      </c>
      <c r="U32" s="10" t="inlineStr">
        <is>
          <t>Large filled circle is to small hollow circle as large filled triangle is to…?</t>
        </is>
      </c>
      <c r="V32" s="10" t="inlineStr">
        <is>
          <t>[large filled circle] : [small hollow circle] :: [large filled triangle] : [?]</t>
        </is>
      </c>
      <c r="W32" s="10" t="n"/>
      <c r="X32" s="10" t="inlineStr">
        <is>
          <t>[small hollow triangle]</t>
        </is>
      </c>
      <c r="Y32" s="10" t="inlineStr">
        <is>
          <t>[large hollow triangle]</t>
        </is>
      </c>
      <c r="Z32" s="10" t="inlineStr">
        <is>
          <t>[small filled triangle]</t>
        </is>
      </c>
      <c r="AA32" s="11" t="inlineStr">
        <is>
          <t>A</t>
        </is>
      </c>
      <c r="AB32" s="12" t="n">
        <v>1</v>
      </c>
      <c r="AC32" s="5" t="inlineStr">
        <is>
          <t>B=size wrong; C=shading wrong</t>
        </is>
      </c>
      <c r="AD32" s="5" t="inlineStr">
        <is>
          <t>Gf_B1_024;Gf_B1_026</t>
        </is>
      </c>
      <c r="AE32" s="5" t="n">
        <v>0.2</v>
      </c>
      <c r="AF32" s="5" t="inlineStr">
        <is>
          <t>induction</t>
        </is>
      </c>
      <c r="AG32" s="5" t="inlineStr">
        <is>
          <t>no_dif</t>
        </is>
      </c>
      <c r="AH32" s="5" t="inlineStr">
        <is>
          <t>untested</t>
        </is>
      </c>
      <c r="AI32" s="5" t="n">
        <v>0</v>
      </c>
      <c r="AJ32" s="13" t="inlineStr">
        <is>
          <t>UNCHANGED — anchor item</t>
        </is>
      </c>
      <c r="AK32" s="14" t="inlineStr">
        <is>
          <t>ANCHOR. Rule: large+filled → small+hollow. Two simultaneous changes.</t>
        </is>
      </c>
    </row>
    <row r="33" ht="52" customHeight="1">
      <c r="A33" s="15" t="inlineStr">
        <is>
          <t>Gf_B1_026</t>
        </is>
      </c>
      <c r="B33" s="16" t="inlineStr">
        <is>
          <t>Gf</t>
        </is>
      </c>
      <c r="C33" s="16" t="inlineStr">
        <is>
          <t>8-10</t>
        </is>
      </c>
      <c r="D33" s="16" t="inlineStr">
        <is>
          <t>concrete_operations</t>
        </is>
      </c>
      <c r="E33" s="16" t="inlineStr">
        <is>
          <t>Induction</t>
        </is>
      </c>
      <c r="F33" s="16" t="inlineStr">
        <is>
          <t>I</t>
        </is>
      </c>
      <c r="G33" s="16" t="inlineStr">
        <is>
          <t>analogy_figural</t>
        </is>
      </c>
      <c r="H33" s="16" t="inlineStr">
        <is>
          <t>number_of_elements+shading_pattern</t>
        </is>
      </c>
      <c r="I33" s="16" t="n">
        <v>2</v>
      </c>
      <c r="J33" s="16" t="inlineStr">
        <is>
          <t>figural</t>
        </is>
      </c>
      <c r="K33" s="54" t="inlineStr">
        <is>
          <t>medium</t>
        </is>
      </c>
      <c r="L33" s="18" t="n">
        <v>-0.45</v>
      </c>
      <c r="M33" s="18" t="n">
        <v>1.1</v>
      </c>
      <c r="N33" s="18" t="n">
        <v>0.33</v>
      </c>
      <c r="O33" s="19" t="inlineStr">
        <is>
          <t>FALSE</t>
        </is>
      </c>
      <c r="P33" s="16" t="n">
        <v>45</v>
      </c>
      <c r="Q33" s="16" t="inlineStr">
        <is>
          <t>image</t>
        </is>
      </c>
      <c r="R33" s="16" t="inlineStr">
        <is>
          <t>3-choice</t>
        </is>
      </c>
      <c r="S33" s="19" t="inlineStr">
        <is>
          <t>FALSE</t>
        </is>
      </c>
      <c r="T33" s="19" t="n"/>
      <c r="U33" s="21" t="inlineStr">
        <is>
          <t>Two filled squares is to one hollow square as two filled circles is to…?</t>
        </is>
      </c>
      <c r="V33" s="21" t="inlineStr">
        <is>
          <t>[2 filled squares] : [1 hollow square] :: [2 filled circles] : [?]</t>
        </is>
      </c>
      <c r="W33" s="21" t="n"/>
      <c r="X33" s="21" t="inlineStr">
        <is>
          <t>[2 hollow circles]</t>
        </is>
      </c>
      <c r="Y33" s="21" t="inlineStr">
        <is>
          <t>[1 hollow circle]</t>
        </is>
      </c>
      <c r="Z33" s="21" t="inlineStr">
        <is>
          <t>[1 filled circle]</t>
        </is>
      </c>
      <c r="AA33" s="28" t="inlineStr">
        <is>
          <t>B</t>
        </is>
      </c>
      <c r="AB33" s="23" t="n">
        <v>2</v>
      </c>
      <c r="AC33" s="16" t="inlineStr">
        <is>
          <t>A=count wrong; C=shading wrong</t>
        </is>
      </c>
      <c r="AD33" s="16" t="inlineStr">
        <is>
          <t>Gf_B1_025</t>
        </is>
      </c>
      <c r="AE33" s="16" t="n">
        <v>0.2</v>
      </c>
      <c r="AF33" s="16" t="inlineStr">
        <is>
          <t>induction</t>
        </is>
      </c>
      <c r="AG33" s="16" t="inlineStr">
        <is>
          <t>no_dif</t>
        </is>
      </c>
      <c r="AH33" s="16" t="inlineStr">
        <is>
          <t>untested</t>
        </is>
      </c>
      <c r="AI33" s="16" t="n">
        <v>0</v>
      </c>
      <c r="AJ33" s="29" t="inlineStr">
        <is>
          <t>CORRECT_IDX — content unchanged. Correct answer moved from A to B (redistribution).</t>
        </is>
      </c>
      <c r="AK33" s="25" t="inlineStr">
        <is>
          <t>Rule: 2+filled → 1+hollow. Two simultaneous changes.</t>
        </is>
      </c>
    </row>
    <row r="34" ht="52" customHeight="1">
      <c r="A34" s="4" t="inlineStr">
        <is>
          <t>Gf_B1_027</t>
        </is>
      </c>
      <c r="B34" s="5" t="inlineStr">
        <is>
          <t>Gf</t>
        </is>
      </c>
      <c r="C34" s="5" t="inlineStr">
        <is>
          <t>8-10</t>
        </is>
      </c>
      <c r="D34" s="5" t="inlineStr">
        <is>
          <t>concrete_operations</t>
        </is>
      </c>
      <c r="E34" s="5" t="inlineStr">
        <is>
          <t>Induction</t>
        </is>
      </c>
      <c r="F34" s="5" t="inlineStr">
        <is>
          <t>I</t>
        </is>
      </c>
      <c r="G34" s="5" t="inlineStr">
        <is>
          <t>odd_one_out_basic</t>
        </is>
      </c>
      <c r="H34" s="5" t="inlineStr">
        <is>
          <t>shading_pattern</t>
        </is>
      </c>
      <c r="I34" s="5" t="n">
        <v>1</v>
      </c>
      <c r="J34" s="5" t="inlineStr">
        <is>
          <t>figural</t>
        </is>
      </c>
      <c r="K34" s="55" t="inlineStr">
        <is>
          <t>medium</t>
        </is>
      </c>
      <c r="L34" s="7" t="n">
        <v>-0.55</v>
      </c>
      <c r="M34" s="7" t="n">
        <v>1.1</v>
      </c>
      <c r="N34" s="7" t="n">
        <v>0.33</v>
      </c>
      <c r="O34" s="8" t="inlineStr">
        <is>
          <t>FALSE</t>
        </is>
      </c>
      <c r="P34" s="5" t="n">
        <v>45</v>
      </c>
      <c r="Q34" s="5" t="inlineStr">
        <is>
          <t>image</t>
        </is>
      </c>
      <c r="R34" s="5" t="inlineStr">
        <is>
          <t>3-choice</t>
        </is>
      </c>
      <c r="S34" s="8" t="inlineStr">
        <is>
          <t>FALSE</t>
        </is>
      </c>
      <c r="T34" s="8" t="n"/>
      <c r="U34" s="10" t="inlineStr">
        <is>
          <t>Which shape does NOT belong?</t>
        </is>
      </c>
      <c r="V34" s="10" t="inlineStr">
        <is>
          <t>[filled circle] | [filled square] | [filled triangle] | [hollow pentagon]</t>
        </is>
      </c>
      <c r="W34" s="10" t="n"/>
      <c r="X34" s="10" t="inlineStr">
        <is>
          <t>[filled circle]</t>
        </is>
      </c>
      <c r="Y34" s="10" t="inlineStr">
        <is>
          <t>[filled triangle]</t>
        </is>
      </c>
      <c r="Z34" s="10" t="inlineStr">
        <is>
          <t>[hollow pentagon]</t>
        </is>
      </c>
      <c r="AA34" s="53" t="inlineStr">
        <is>
          <t>C</t>
        </is>
      </c>
      <c r="AB34" s="12" t="n">
        <v>3</v>
      </c>
      <c r="AC34" s="5" t="inlineStr">
        <is>
          <t>A/B=are filled (belong); C=hollow (odd one out)</t>
        </is>
      </c>
      <c r="AD34" s="5" t="inlineStr">
        <is>
          <t>Gf_B1_028</t>
        </is>
      </c>
      <c r="AE34" s="5" t="n">
        <v>0.2</v>
      </c>
      <c r="AF34" s="5" t="inlineStr">
        <is>
          <t>induction</t>
        </is>
      </c>
      <c r="AG34" s="5" t="inlineStr">
        <is>
          <t>no_dif</t>
        </is>
      </c>
      <c r="AH34" s="5" t="inlineStr">
        <is>
          <t>untested</t>
        </is>
      </c>
      <c r="AI34" s="5" t="n">
        <v>0</v>
      </c>
      <c r="AJ34" s="27" t="inlineStr">
        <is>
          <t>CORRECT_IDX — content unchanged. Correct answer moved from A to C (redistribution).</t>
        </is>
      </c>
      <c r="AK34" s="14" t="inlineStr">
        <is>
          <t>Rule: 3 filled + 1 hollow. Classification by shading.</t>
        </is>
      </c>
    </row>
    <row r="35" ht="52" customHeight="1">
      <c r="A35" s="15" t="inlineStr">
        <is>
          <t>Gf_B1_028</t>
        </is>
      </c>
      <c r="B35" s="16" t="inlineStr">
        <is>
          <t>Gf</t>
        </is>
      </c>
      <c r="C35" s="16" t="inlineStr">
        <is>
          <t>8-10</t>
        </is>
      </c>
      <c r="D35" s="16" t="inlineStr">
        <is>
          <t>concrete_operations</t>
        </is>
      </c>
      <c r="E35" s="16" t="inlineStr">
        <is>
          <t>Induction</t>
        </is>
      </c>
      <c r="F35" s="16" t="inlineStr">
        <is>
          <t>I</t>
        </is>
      </c>
      <c r="G35" s="16" t="inlineStr">
        <is>
          <t>odd_one_out_basic</t>
        </is>
      </c>
      <c r="H35" s="16" t="inlineStr">
        <is>
          <t>number_of_elements</t>
        </is>
      </c>
      <c r="I35" s="16" t="n">
        <v>1</v>
      </c>
      <c r="J35" s="16" t="inlineStr">
        <is>
          <t>figural</t>
        </is>
      </c>
      <c r="K35" s="54" t="inlineStr">
        <is>
          <t>medium</t>
        </is>
      </c>
      <c r="L35" s="18" t="n">
        <v>-0.4</v>
      </c>
      <c r="M35" s="18" t="n">
        <v>1.1</v>
      </c>
      <c r="N35" s="18" t="n">
        <v>0.33</v>
      </c>
      <c r="O35" s="19" t="inlineStr">
        <is>
          <t>FALSE</t>
        </is>
      </c>
      <c r="P35" s="16" t="n">
        <v>45</v>
      </c>
      <c r="Q35" s="16" t="inlineStr">
        <is>
          <t>image</t>
        </is>
      </c>
      <c r="R35" s="16" t="inlineStr">
        <is>
          <t>3-choice</t>
        </is>
      </c>
      <c r="S35" s="19" t="inlineStr">
        <is>
          <t>FALSE</t>
        </is>
      </c>
      <c r="T35" s="19" t="n"/>
      <c r="U35" s="21" t="inlineStr">
        <is>
          <t>Which group does NOT belong?</t>
        </is>
      </c>
      <c r="V35" s="21" t="inlineStr">
        <is>
          <t>[3 triangles] | [3 circles] | [3 squares] | [2 pentagons]</t>
        </is>
      </c>
      <c r="W35" s="21" t="n"/>
      <c r="X35" s="21" t="inlineStr">
        <is>
          <t>[2 pentagons]</t>
        </is>
      </c>
      <c r="Y35" s="21" t="inlineStr">
        <is>
          <t>[3 triangles]</t>
        </is>
      </c>
      <c r="Z35" s="21" t="inlineStr">
        <is>
          <t>[3 circles]</t>
        </is>
      </c>
      <c r="AA35" s="22" t="inlineStr">
        <is>
          <t>A</t>
        </is>
      </c>
      <c r="AB35" s="23" t="n">
        <v>1</v>
      </c>
      <c r="AC35" s="16" t="inlineStr">
        <is>
          <t>B/C=count of 3 (majority)</t>
        </is>
      </c>
      <c r="AD35" s="16" t="inlineStr">
        <is>
          <t>Gf_B1_027</t>
        </is>
      </c>
      <c r="AE35" s="16" t="n">
        <v>0.2</v>
      </c>
      <c r="AF35" s="16" t="inlineStr">
        <is>
          <t>induction</t>
        </is>
      </c>
      <c r="AG35" s="16" t="inlineStr">
        <is>
          <t>no_dif</t>
        </is>
      </c>
      <c r="AH35" s="16" t="inlineStr">
        <is>
          <t>untested</t>
        </is>
      </c>
      <c r="AI35" s="16" t="n">
        <v>0</v>
      </c>
      <c r="AJ35" s="24" t="inlineStr">
        <is>
          <t>UNCHANGED — max count=3, clean</t>
        </is>
      </c>
      <c r="AK35" s="25" t="inlineStr">
        <is>
          <t>Rule: 3 groups of 3 + 1 group of 2. Count classification.</t>
        </is>
      </c>
    </row>
    <row r="36" ht="52" customHeight="1">
      <c r="A36" s="4" t="inlineStr">
        <is>
          <t>Gf_B1_033</t>
        </is>
      </c>
      <c r="B36" s="5" t="inlineStr">
        <is>
          <t>Gf</t>
        </is>
      </c>
      <c r="C36" s="5" t="inlineStr">
        <is>
          <t>8-10</t>
        </is>
      </c>
      <c r="D36" s="5" t="inlineStr">
        <is>
          <t>concrete_operations</t>
        </is>
      </c>
      <c r="E36" s="5" t="inlineStr">
        <is>
          <t>Induction</t>
        </is>
      </c>
      <c r="F36" s="5" t="inlineStr">
        <is>
          <t>I</t>
        </is>
      </c>
      <c r="G36" s="5" t="inlineStr">
        <is>
          <t>matrix_2x2</t>
        </is>
      </c>
      <c r="H36" s="5" t="inlineStr">
        <is>
          <t>size_change+number_of_elements</t>
        </is>
      </c>
      <c r="I36" s="5" t="n">
        <v>2</v>
      </c>
      <c r="J36" s="5" t="inlineStr">
        <is>
          <t>figural</t>
        </is>
      </c>
      <c r="K36" s="55" t="inlineStr">
        <is>
          <t>medium</t>
        </is>
      </c>
      <c r="L36" s="7" t="n">
        <v>0.1</v>
      </c>
      <c r="M36" s="7" t="n">
        <v>1.1</v>
      </c>
      <c r="N36" s="7" t="n">
        <v>0.33</v>
      </c>
      <c r="O36" s="8" t="inlineStr">
        <is>
          <t>FALSE</t>
        </is>
      </c>
      <c r="P36" s="5" t="n">
        <v>45</v>
      </c>
      <c r="Q36" s="5" t="inlineStr">
        <is>
          <t>image</t>
        </is>
      </c>
      <c r="R36" s="5" t="inlineStr">
        <is>
          <t>3-choice</t>
        </is>
      </c>
      <c r="S36" s="8" t="inlineStr">
        <is>
          <t>FALSE</t>
        </is>
      </c>
      <c r="T36" s="8" t="n"/>
      <c r="U36" s="10" t="inlineStr">
        <is>
          <t>Which shape completes the grid?</t>
        </is>
      </c>
      <c r="V36" s="10" t="inlineStr">
        <is>
          <t>Row 1: [1 large diamond] | [2 large diamonds]</t>
        </is>
      </c>
      <c r="W36" s="10" t="inlineStr">
        <is>
          <t>Row 2: [1 small diamond] | [?]</t>
        </is>
      </c>
      <c r="X36" s="10" t="inlineStr">
        <is>
          <t>[1 small diamond]</t>
        </is>
      </c>
      <c r="Y36" s="10" t="inlineStr">
        <is>
          <t>[2 small diamonds]</t>
        </is>
      </c>
      <c r="Z36" s="10" t="inlineStr">
        <is>
          <t>[2 large diamonds]</t>
        </is>
      </c>
      <c r="AA36" s="26" t="inlineStr">
        <is>
          <t>B</t>
        </is>
      </c>
      <c r="AB36" s="12" t="n">
        <v>2</v>
      </c>
      <c r="AC36" s="5" t="inlineStr">
        <is>
          <t>A=count unchanged; C=size unchanged</t>
        </is>
      </c>
      <c r="AD36" s="5" t="inlineStr">
        <is>
          <t>Gf_B1_034</t>
        </is>
      </c>
      <c r="AE36" s="5" t="n">
        <v>0.2</v>
      </c>
      <c r="AF36" s="5" t="inlineStr">
        <is>
          <t>induction</t>
        </is>
      </c>
      <c r="AG36" s="5" t="inlineStr">
        <is>
          <t>no_dif</t>
        </is>
      </c>
      <c r="AH36" s="5" t="inlineStr">
        <is>
          <t>untested</t>
        </is>
      </c>
      <c r="AI36" s="5" t="n">
        <v>0</v>
      </c>
      <c r="AJ36" s="27" t="inlineStr">
        <is>
          <t>CORRECT_IDX — content unchanged. Correct answer moved from A to B (redistribution).</t>
        </is>
      </c>
      <c r="AK36" s="14" t="inlineStr">
        <is>
          <t>Rule: col adds 1; row shrinks size. Two rules.</t>
        </is>
      </c>
    </row>
    <row r="37" ht="52" customHeight="1">
      <c r="A37" s="31" t="inlineStr">
        <is>
          <t>Gf_B1_034</t>
        </is>
      </c>
      <c r="B37" s="32" t="inlineStr">
        <is>
          <t>Gf</t>
        </is>
      </c>
      <c r="C37" s="32" t="inlineStr">
        <is>
          <t>8-10</t>
        </is>
      </c>
      <c r="D37" s="32" t="inlineStr">
        <is>
          <t>concrete_operations</t>
        </is>
      </c>
      <c r="E37" s="32" t="inlineStr">
        <is>
          <t>Induction</t>
        </is>
      </c>
      <c r="F37" s="32" t="inlineStr">
        <is>
          <t>I</t>
        </is>
      </c>
      <c r="G37" s="32" t="inlineStr">
        <is>
          <t>series_linear</t>
        </is>
      </c>
      <c r="H37" s="32" t="inlineStr">
        <is>
          <t>shape_change</t>
        </is>
      </c>
      <c r="I37" s="32" t="n">
        <v>1</v>
      </c>
      <c r="J37" s="32" t="inlineStr">
        <is>
          <t>figural</t>
        </is>
      </c>
      <c r="K37" s="56" t="inlineStr">
        <is>
          <t>medium</t>
        </is>
      </c>
      <c r="L37" s="34" t="n">
        <v>0.15</v>
      </c>
      <c r="M37" s="34" t="n">
        <v>1.1</v>
      </c>
      <c r="N37" s="34" t="n">
        <v>0.33</v>
      </c>
      <c r="O37" s="35" t="inlineStr">
        <is>
          <t>FALSE</t>
        </is>
      </c>
      <c r="P37" s="32" t="n">
        <v>45</v>
      </c>
      <c r="Q37" s="32" t="inlineStr">
        <is>
          <t>image</t>
        </is>
      </c>
      <c r="R37" s="32" t="inlineStr">
        <is>
          <t>3-choice</t>
        </is>
      </c>
      <c r="S37" s="35" t="inlineStr">
        <is>
          <t>FALSE</t>
        </is>
      </c>
      <c r="T37" s="35" t="n"/>
      <c r="U37" s="36" t="inlineStr">
        <is>
          <t>What comes next in the pattern?</t>
        </is>
      </c>
      <c r="V37" s="36" t="inlineStr">
        <is>
          <t>[hollow circle] → [hollow square] → [hollow circle] → [hollow square] → ?</t>
        </is>
      </c>
      <c r="W37" s="36" t="n"/>
      <c r="X37" s="36" t="inlineStr">
        <is>
          <t>[hollow square]</t>
        </is>
      </c>
      <c r="Y37" s="36" t="inlineStr">
        <is>
          <t>[filled circle]</t>
        </is>
      </c>
      <c r="Z37" s="36" t="inlineStr">
        <is>
          <t>[hollow circle]</t>
        </is>
      </c>
      <c r="AA37" s="37" t="inlineStr">
        <is>
          <t>C</t>
        </is>
      </c>
      <c r="AB37" s="38" t="n">
        <v>3</v>
      </c>
      <c r="AC37" s="32" t="inlineStr">
        <is>
          <t>A=repeats last term (position error); B=shape correct but fill wrong</t>
        </is>
      </c>
      <c r="AD37" s="32" t="inlineStr">
        <is>
          <t>Gf_B1_033</t>
        </is>
      </c>
      <c r="AE37" s="32" t="n">
        <v>0.2</v>
      </c>
      <c r="AF37" s="32" t="inlineStr">
        <is>
          <t>induction</t>
        </is>
      </c>
      <c r="AG37" s="32" t="inlineStr">
        <is>
          <t>no_dif</t>
        </is>
      </c>
      <c r="AH37" s="32" t="inlineStr">
        <is>
          <t>untested</t>
        </is>
      </c>
      <c r="AI37" s="32" t="n">
        <v>0</v>
      </c>
      <c r="AJ37" s="39" t="inlineStr">
        <is>
          <t>VALIDITY_FIX — original item alternated BOTH shape AND shading simultaneously making it ambiguous (which feature governs?). Redesigned as single-rule: shape alternates circle↔square, fill constant hollow. Distractor B introduces filled shading to test whether child tracked fill as rule. Correct answer moved to C (redistribution).</t>
        </is>
      </c>
      <c r="AK37" s="40" t="inlineStr">
        <is>
          <t>Rule: shape alternates circle/square, fill stays hollow throughout. Single rule per manual §Gf spec.</t>
        </is>
      </c>
    </row>
    <row r="38" ht="52" customHeight="1">
      <c r="A38" s="31" t="inlineStr">
        <is>
          <t>Gf_B1_035</t>
        </is>
      </c>
      <c r="B38" s="32" t="inlineStr">
        <is>
          <t>Gf</t>
        </is>
      </c>
      <c r="C38" s="32" t="inlineStr">
        <is>
          <t>8-10</t>
        </is>
      </c>
      <c r="D38" s="32" t="inlineStr">
        <is>
          <t>concrete_operations</t>
        </is>
      </c>
      <c r="E38" s="32" t="inlineStr">
        <is>
          <t>Induction</t>
        </is>
      </c>
      <c r="F38" s="32" t="inlineStr">
        <is>
          <t>I</t>
        </is>
      </c>
      <c r="G38" s="32" t="inlineStr">
        <is>
          <t>analogy_figural</t>
        </is>
      </c>
      <c r="H38" s="32" t="inlineStr">
        <is>
          <t>shape_change</t>
        </is>
      </c>
      <c r="I38" s="32" t="n">
        <v>1</v>
      </c>
      <c r="J38" s="32" t="inlineStr">
        <is>
          <t>figural</t>
        </is>
      </c>
      <c r="K38" s="56" t="inlineStr">
        <is>
          <t>medium</t>
        </is>
      </c>
      <c r="L38" s="34" t="n">
        <v>0.2</v>
      </c>
      <c r="M38" s="34" t="n">
        <v>1.1</v>
      </c>
      <c r="N38" s="34" t="n">
        <v>0.33</v>
      </c>
      <c r="O38" s="35" t="inlineStr">
        <is>
          <t>FALSE</t>
        </is>
      </c>
      <c r="P38" s="32" t="n">
        <v>45</v>
      </c>
      <c r="Q38" s="32" t="inlineStr">
        <is>
          <t>image</t>
        </is>
      </c>
      <c r="R38" s="32" t="inlineStr">
        <is>
          <t>3-choice</t>
        </is>
      </c>
      <c r="S38" s="35" t="inlineStr">
        <is>
          <t>FALSE</t>
        </is>
      </c>
      <c r="T38" s="35" t="n"/>
      <c r="U38" s="36" t="inlineStr">
        <is>
          <t>Which shape completes the pattern?</t>
        </is>
      </c>
      <c r="V38" s="36" t="inlineStr">
        <is>
          <t>[triangle] : [square] :: [pentagon] : [?]</t>
        </is>
      </c>
      <c r="W38" s="36" t="n"/>
      <c r="X38" s="36" t="inlineStr">
        <is>
          <t>[pentagon]</t>
        </is>
      </c>
      <c r="Y38" s="36" t="inlineStr">
        <is>
          <t>[hexagon]</t>
        </is>
      </c>
      <c r="Z38" s="36" t="inlineStr">
        <is>
          <t>[triangle]</t>
        </is>
      </c>
      <c r="AA38" s="51" t="inlineStr">
        <is>
          <t>B</t>
        </is>
      </c>
      <c r="AB38" s="38" t="n">
        <v>2</v>
      </c>
      <c r="AC38" s="32" t="inlineStr">
        <is>
          <t>A=no change; C=first shape in analogy</t>
        </is>
      </c>
      <c r="AD38" s="32" t="inlineStr">
        <is>
          <t>Gf_B1_036</t>
        </is>
      </c>
      <c r="AE38" s="32" t="n">
        <v>0.2</v>
      </c>
      <c r="AF38" s="32" t="inlineStr">
        <is>
          <t>induction</t>
        </is>
      </c>
      <c r="AG38" s="32" t="inlineStr">
        <is>
          <t>no_dif</t>
        </is>
      </c>
      <c r="AH38" s="32" t="inlineStr">
        <is>
          <t>untested</t>
        </is>
      </c>
      <c r="AI38" s="32" t="n">
        <v>0</v>
      </c>
      <c r="AJ38" s="39" t="inlineStr">
        <is>
          <t>VALIDITY_FIX — original analogy (small circle:large square::small triangle:?) had an arbitrary circle→square shape-change with no extractable rule. Replaced with valid add-one-side rule: triangle(3)→square(4)::pentagon(5)→hexagon(6). Correct answer moved to B (redistribution). NOTE: show shapes as images only; do not display shape names.</t>
        </is>
      </c>
      <c r="AK38" s="40" t="inlineStr">
        <is>
          <t>Rule: +1 side (3→4→5→6). All shapes in sprite. Pentagon and hexagon are approved tokens; do not show names in options, show images only.</t>
        </is>
      </c>
    </row>
    <row r="39" ht="52" customHeight="1">
      <c r="A39" s="15" t="inlineStr">
        <is>
          <t>Gf_B1_036</t>
        </is>
      </c>
      <c r="B39" s="16" t="inlineStr">
        <is>
          <t>Gf</t>
        </is>
      </c>
      <c r="C39" s="16" t="inlineStr">
        <is>
          <t>8-10</t>
        </is>
      </c>
      <c r="D39" s="16" t="inlineStr">
        <is>
          <t>concrete_operations</t>
        </is>
      </c>
      <c r="E39" s="16" t="inlineStr">
        <is>
          <t>Induction</t>
        </is>
      </c>
      <c r="F39" s="16" t="inlineStr">
        <is>
          <t>I</t>
        </is>
      </c>
      <c r="G39" s="16" t="inlineStr">
        <is>
          <t>matrix_2x2</t>
        </is>
      </c>
      <c r="H39" s="16" t="inlineStr">
        <is>
          <t>shading_pattern+number_of_elements</t>
        </is>
      </c>
      <c r="I39" s="16" t="n">
        <v>2</v>
      </c>
      <c r="J39" s="16" t="inlineStr">
        <is>
          <t>figural</t>
        </is>
      </c>
      <c r="K39" s="54" t="inlineStr">
        <is>
          <t>medium</t>
        </is>
      </c>
      <c r="L39" s="18" t="n">
        <v>0.3</v>
      </c>
      <c r="M39" s="18" t="n">
        <v>1.1</v>
      </c>
      <c r="N39" s="18" t="n">
        <v>0.33</v>
      </c>
      <c r="O39" s="19" t="inlineStr">
        <is>
          <t>FALSE</t>
        </is>
      </c>
      <c r="P39" s="16" t="n">
        <v>45</v>
      </c>
      <c r="Q39" s="16" t="inlineStr">
        <is>
          <t>image</t>
        </is>
      </c>
      <c r="R39" s="16" t="inlineStr">
        <is>
          <t>3-choice</t>
        </is>
      </c>
      <c r="S39" s="19" t="inlineStr">
        <is>
          <t>FALSE</t>
        </is>
      </c>
      <c r="T39" s="20" t="inlineStr">
        <is>
          <t>GF_ANCHOR_B1</t>
        </is>
      </c>
      <c r="U39" s="21" t="inlineStr">
        <is>
          <t>Which shape completes the grid?</t>
        </is>
      </c>
      <c r="V39" s="21" t="inlineStr">
        <is>
          <t>Row 1: [3 hollow circles] | [1 hollow circle]</t>
        </is>
      </c>
      <c r="W39" s="21" t="inlineStr">
        <is>
          <t>Row 2: [3 filled circles] | [?]</t>
        </is>
      </c>
      <c r="X39" s="21" t="inlineStr">
        <is>
          <t>[1 filled circle]</t>
        </is>
      </c>
      <c r="Y39" s="21" t="inlineStr">
        <is>
          <t>[3 filled circles]</t>
        </is>
      </c>
      <c r="Z39" s="21" t="inlineStr">
        <is>
          <t>[1 hollow circle]</t>
        </is>
      </c>
      <c r="AA39" s="22" t="inlineStr">
        <is>
          <t>A</t>
        </is>
      </c>
      <c r="AB39" s="23" t="n">
        <v>1</v>
      </c>
      <c r="AC39" s="16" t="inlineStr">
        <is>
          <t>B=count wrong; C=shading wrong</t>
        </is>
      </c>
      <c r="AD39" s="16" t="inlineStr">
        <is>
          <t>Gf_B1_035</t>
        </is>
      </c>
      <c r="AE39" s="16" t="n">
        <v>0.2</v>
      </c>
      <c r="AF39" s="16" t="inlineStr">
        <is>
          <t>induction</t>
        </is>
      </c>
      <c r="AG39" s="16" t="inlineStr">
        <is>
          <t>no_dif</t>
        </is>
      </c>
      <c r="AH39" s="16" t="inlineStr">
        <is>
          <t>untested</t>
        </is>
      </c>
      <c r="AI39" s="16" t="n">
        <v>0</v>
      </c>
      <c r="AJ39" s="24" t="inlineStr">
        <is>
          <t>UNCHANGED — anchor item</t>
        </is>
      </c>
      <c r="AK39" s="25" t="inlineStr">
        <is>
          <t>ANCHOR. Rule: col1=3, col2=1; row1=hollow, row2=filled.</t>
        </is>
      </c>
    </row>
    <row r="40" ht="52" customHeight="1">
      <c r="A40" s="4" t="inlineStr">
        <is>
          <t>Gf_B1_039</t>
        </is>
      </c>
      <c r="B40" s="5" t="inlineStr">
        <is>
          <t>Gf</t>
        </is>
      </c>
      <c r="C40" s="5" t="inlineStr">
        <is>
          <t>8-10</t>
        </is>
      </c>
      <c r="D40" s="5" t="inlineStr">
        <is>
          <t>concrete_operations</t>
        </is>
      </c>
      <c r="E40" s="5" t="inlineStr">
        <is>
          <t>Induction</t>
        </is>
      </c>
      <c r="F40" s="5" t="inlineStr">
        <is>
          <t>I</t>
        </is>
      </c>
      <c r="G40" s="5" t="inlineStr">
        <is>
          <t>matrix_2x2</t>
        </is>
      </c>
      <c r="H40" s="5" t="inlineStr">
        <is>
          <t>size_change+shading_pattern</t>
        </is>
      </c>
      <c r="I40" s="5" t="n">
        <v>2</v>
      </c>
      <c r="J40" s="5" t="inlineStr">
        <is>
          <t>figural</t>
        </is>
      </c>
      <c r="K40" s="67" t="inlineStr">
        <is>
          <t>hard</t>
        </is>
      </c>
      <c r="L40" s="7" t="n">
        <v>0.55</v>
      </c>
      <c r="M40" s="7" t="n">
        <v>1.2</v>
      </c>
      <c r="N40" s="7" t="n">
        <v>0.33</v>
      </c>
      <c r="O40" s="8" t="inlineStr">
        <is>
          <t>FALSE</t>
        </is>
      </c>
      <c r="P40" s="5" t="n">
        <v>45</v>
      </c>
      <c r="Q40" s="5" t="inlineStr">
        <is>
          <t>image</t>
        </is>
      </c>
      <c r="R40" s="5" t="inlineStr">
        <is>
          <t>3-choice</t>
        </is>
      </c>
      <c r="S40" s="8" t="inlineStr">
        <is>
          <t>FALSE</t>
        </is>
      </c>
      <c r="T40" s="8" t="n"/>
      <c r="U40" s="10" t="inlineStr">
        <is>
          <t>Which shape completes the grid?</t>
        </is>
      </c>
      <c r="V40" s="10" t="inlineStr">
        <is>
          <t>Row 1: [large hollow pentagon] | [large filled pentagon]</t>
        </is>
      </c>
      <c r="W40" s="10" t="inlineStr">
        <is>
          <t>Row 2: [small hollow hexagon] | [?]</t>
        </is>
      </c>
      <c r="X40" s="10" t="inlineStr">
        <is>
          <t>[small filled hexagon]</t>
        </is>
      </c>
      <c r="Y40" s="10" t="inlineStr">
        <is>
          <t>[large filled hexagon]</t>
        </is>
      </c>
      <c r="Z40" s="10" t="inlineStr">
        <is>
          <t>[small hollow hexagon]</t>
        </is>
      </c>
      <c r="AA40" s="11" t="inlineStr">
        <is>
          <t>A</t>
        </is>
      </c>
      <c r="AB40" s="12" t="n">
        <v>1</v>
      </c>
      <c r="AC40" s="5" t="inlineStr">
        <is>
          <t>B=size wrong; C=shading wrong</t>
        </is>
      </c>
      <c r="AD40" s="5" t="inlineStr">
        <is>
          <t>Gf_B1_040</t>
        </is>
      </c>
      <c r="AE40" s="5" t="n">
        <v>0.2</v>
      </c>
      <c r="AF40" s="5" t="inlineStr">
        <is>
          <t>induction</t>
        </is>
      </c>
      <c r="AG40" s="5" t="inlineStr">
        <is>
          <t>no_dif</t>
        </is>
      </c>
      <c r="AH40" s="5" t="inlineStr">
        <is>
          <t>untested</t>
        </is>
      </c>
      <c r="AI40" s="5" t="n">
        <v>0</v>
      </c>
      <c r="AJ40" s="13" t="inlineStr">
        <is>
          <t>UNCHANGED</t>
        </is>
      </c>
      <c r="AK40" s="14" t="inlineStr">
        <is>
          <t>Rule: col1=hollow, col2=filled; row1=large, row2=small. Pentagon/hexagon increase difficulty.</t>
        </is>
      </c>
    </row>
    <row r="41" ht="52" customHeight="1">
      <c r="A41" s="15" t="inlineStr">
        <is>
          <t>Gf_B1_040</t>
        </is>
      </c>
      <c r="B41" s="16" t="inlineStr">
        <is>
          <t>Gf</t>
        </is>
      </c>
      <c r="C41" s="16" t="inlineStr">
        <is>
          <t>8-10</t>
        </is>
      </c>
      <c r="D41" s="16" t="inlineStr">
        <is>
          <t>concrete_operations</t>
        </is>
      </c>
      <c r="E41" s="16" t="inlineStr">
        <is>
          <t>Induction</t>
        </is>
      </c>
      <c r="F41" s="16" t="inlineStr">
        <is>
          <t>I</t>
        </is>
      </c>
      <c r="G41" s="16" t="inlineStr">
        <is>
          <t>series_linear</t>
        </is>
      </c>
      <c r="H41" s="16" t="inlineStr">
        <is>
          <t>shape_change+number_of_elements</t>
        </is>
      </c>
      <c r="I41" s="16" t="n">
        <v>2</v>
      </c>
      <c r="J41" s="16" t="inlineStr">
        <is>
          <t>figural</t>
        </is>
      </c>
      <c r="K41" s="68" t="inlineStr">
        <is>
          <t>hard</t>
        </is>
      </c>
      <c r="L41" s="18" t="n">
        <v>0.6</v>
      </c>
      <c r="M41" s="18" t="n">
        <v>1.2</v>
      </c>
      <c r="N41" s="18" t="n">
        <v>0.33</v>
      </c>
      <c r="O41" s="19" t="inlineStr">
        <is>
          <t>FALSE</t>
        </is>
      </c>
      <c r="P41" s="16" t="n">
        <v>45</v>
      </c>
      <c r="Q41" s="16" t="inlineStr">
        <is>
          <t>image</t>
        </is>
      </c>
      <c r="R41" s="16" t="inlineStr">
        <is>
          <t>3-choice</t>
        </is>
      </c>
      <c r="S41" s="19" t="inlineStr">
        <is>
          <t>FALSE</t>
        </is>
      </c>
      <c r="T41" s="19" t="n"/>
      <c r="U41" s="21" t="inlineStr">
        <is>
          <t>What comes next in the pattern?</t>
        </is>
      </c>
      <c r="V41" s="21" t="inlineStr">
        <is>
          <t>[1 circle] → [2 squares] → [3 triangles] → [4 circles] → ?</t>
        </is>
      </c>
      <c r="W41" s="21" t="n"/>
      <c r="X41" s="21" t="inlineStr">
        <is>
          <t>[5 circles]</t>
        </is>
      </c>
      <c r="Y41" s="21" t="inlineStr">
        <is>
          <t>[5 squares]</t>
        </is>
      </c>
      <c r="Z41" s="21" t="inlineStr">
        <is>
          <t>[4 squares]</t>
        </is>
      </c>
      <c r="AA41" s="28" t="inlineStr">
        <is>
          <t>B</t>
        </is>
      </c>
      <c r="AB41" s="23" t="n">
        <v>2</v>
      </c>
      <c r="AC41" s="16" t="inlineStr">
        <is>
          <t>A=shape wrong (circles); C=count wrong and shape wrong</t>
        </is>
      </c>
      <c r="AD41" s="16" t="inlineStr">
        <is>
          <t>Gf_B1_039;Gf_B1_041</t>
        </is>
      </c>
      <c r="AE41" s="16" t="n">
        <v>0.2</v>
      </c>
      <c r="AF41" s="16" t="inlineStr">
        <is>
          <t>induction</t>
        </is>
      </c>
      <c r="AG41" s="16" t="inlineStr">
        <is>
          <t>no_dif</t>
        </is>
      </c>
      <c r="AH41" s="16" t="inlineStr">
        <is>
          <t>untested</t>
        </is>
      </c>
      <c r="AI41" s="16" t="n">
        <v>0</v>
      </c>
      <c r="AJ41" s="29" t="inlineStr">
        <is>
          <t>CORRECT_IDX — content unchanged. Correct answer moved from A to B (redistribution).</t>
        </is>
      </c>
      <c r="AK41" s="25" t="inlineStr">
        <is>
          <t>Rule: count +1 AND shape cycles circle→square→triangle. Max count=5.</t>
        </is>
      </c>
    </row>
    <row r="42" ht="52" customHeight="1">
      <c r="A42" s="4" t="inlineStr">
        <is>
          <t>Gf_B1_041</t>
        </is>
      </c>
      <c r="B42" s="5" t="inlineStr">
        <is>
          <t>Gf</t>
        </is>
      </c>
      <c r="C42" s="5" t="inlineStr">
        <is>
          <t>8-10</t>
        </is>
      </c>
      <c r="D42" s="5" t="inlineStr">
        <is>
          <t>concrete_operations</t>
        </is>
      </c>
      <c r="E42" s="5" t="inlineStr">
        <is>
          <t>Induction</t>
        </is>
      </c>
      <c r="F42" s="5" t="inlineStr">
        <is>
          <t>I</t>
        </is>
      </c>
      <c r="G42" s="5" t="inlineStr">
        <is>
          <t>analogy_figural</t>
        </is>
      </c>
      <c r="H42" s="5" t="inlineStr">
        <is>
          <t>size_change+number_of_elements</t>
        </is>
      </c>
      <c r="I42" s="5" t="n">
        <v>2</v>
      </c>
      <c r="J42" s="5" t="inlineStr">
        <is>
          <t>figural</t>
        </is>
      </c>
      <c r="K42" s="67" t="inlineStr">
        <is>
          <t>hard</t>
        </is>
      </c>
      <c r="L42" s="7" t="n">
        <v>0.65</v>
      </c>
      <c r="M42" s="7" t="n">
        <v>1.2</v>
      </c>
      <c r="N42" s="7" t="n">
        <v>0.33</v>
      </c>
      <c r="O42" s="8" t="inlineStr">
        <is>
          <t>FALSE</t>
        </is>
      </c>
      <c r="P42" s="5" t="n">
        <v>45</v>
      </c>
      <c r="Q42" s="5" t="inlineStr">
        <is>
          <t>image</t>
        </is>
      </c>
      <c r="R42" s="5" t="inlineStr">
        <is>
          <t>3-choice</t>
        </is>
      </c>
      <c r="S42" s="8" t="inlineStr">
        <is>
          <t>FALSE</t>
        </is>
      </c>
      <c r="T42" s="8" t="n"/>
      <c r="U42" s="10" t="inlineStr">
        <is>
          <t>Three large stars is to one small star as six large circles is to…?</t>
        </is>
      </c>
      <c r="V42" s="10" t="inlineStr">
        <is>
          <t>[3 large stars] : [1 small star] :: [6 large circles] : [?]</t>
        </is>
      </c>
      <c r="W42" s="10" t="n"/>
      <c r="X42" s="10" t="inlineStr">
        <is>
          <t>[2 small circles]</t>
        </is>
      </c>
      <c r="Y42" s="10" t="inlineStr">
        <is>
          <t>[3 small circles]</t>
        </is>
      </c>
      <c r="Z42" s="10" t="inlineStr">
        <is>
          <t>[2 large circles]</t>
        </is>
      </c>
      <c r="AA42" s="11" t="inlineStr">
        <is>
          <t>A</t>
        </is>
      </c>
      <c r="AB42" s="12" t="n">
        <v>1</v>
      </c>
      <c r="AC42" s="5" t="inlineStr">
        <is>
          <t>B=count wrong; C=size wrong</t>
        </is>
      </c>
      <c r="AD42" s="5" t="inlineStr">
        <is>
          <t>Gf_B1_040</t>
        </is>
      </c>
      <c r="AE42" s="5" t="n">
        <v>0.2</v>
      </c>
      <c r="AF42" s="5" t="inlineStr">
        <is>
          <t>induction</t>
        </is>
      </c>
      <c r="AG42" s="5" t="inlineStr">
        <is>
          <t>no_dif</t>
        </is>
      </c>
      <c r="AH42" s="5" t="inlineStr">
        <is>
          <t>untested</t>
        </is>
      </c>
      <c r="AI42" s="5" t="n">
        <v>0</v>
      </c>
      <c r="AJ42" s="13" t="inlineStr">
        <is>
          <t>UNCHANGED — max count=6, clean</t>
        </is>
      </c>
      <c r="AK42" s="14" t="inlineStr">
        <is>
          <t>Rule: ÷3 count + large→small. 3→1 and 6→2.</t>
        </is>
      </c>
    </row>
    <row r="43" ht="52" customHeight="1">
      <c r="A43" s="15" t="inlineStr">
        <is>
          <t>Gf_B1_042</t>
        </is>
      </c>
      <c r="B43" s="16" t="inlineStr">
        <is>
          <t>Gf</t>
        </is>
      </c>
      <c r="C43" s="16" t="inlineStr">
        <is>
          <t>8-10</t>
        </is>
      </c>
      <c r="D43" s="16" t="inlineStr">
        <is>
          <t>concrete_operations</t>
        </is>
      </c>
      <c r="E43" s="16" t="inlineStr">
        <is>
          <t>Induction</t>
        </is>
      </c>
      <c r="F43" s="16" t="inlineStr">
        <is>
          <t>I</t>
        </is>
      </c>
      <c r="G43" s="16" t="inlineStr">
        <is>
          <t>odd_one_out_basic</t>
        </is>
      </c>
      <c r="H43" s="16" t="inlineStr">
        <is>
          <t>size_change+shading_pattern</t>
        </is>
      </c>
      <c r="I43" s="16" t="n">
        <v>2</v>
      </c>
      <c r="J43" s="16" t="inlineStr">
        <is>
          <t>figural</t>
        </is>
      </c>
      <c r="K43" s="68" t="inlineStr">
        <is>
          <t>hard</t>
        </is>
      </c>
      <c r="L43" s="18" t="n">
        <v>0.7</v>
      </c>
      <c r="M43" s="18" t="n">
        <v>1.2</v>
      </c>
      <c r="N43" s="18" t="n">
        <v>0.33</v>
      </c>
      <c r="O43" s="19" t="inlineStr">
        <is>
          <t>FALSE</t>
        </is>
      </c>
      <c r="P43" s="16" t="n">
        <v>45</v>
      </c>
      <c r="Q43" s="16" t="inlineStr">
        <is>
          <t>image</t>
        </is>
      </c>
      <c r="R43" s="16" t="inlineStr">
        <is>
          <t>3-choice</t>
        </is>
      </c>
      <c r="S43" s="19" t="inlineStr">
        <is>
          <t>FALSE</t>
        </is>
      </c>
      <c r="T43" s="19" t="n"/>
      <c r="U43" s="21" t="inlineStr">
        <is>
          <t>Three shapes share two features. Which does NOT belong?</t>
        </is>
      </c>
      <c r="V43" s="21" t="inlineStr">
        <is>
          <t>[large hollow circle] | [large hollow square] | [large hollow triangle] | [small hollow pentagon]</t>
        </is>
      </c>
      <c r="W43" s="21" t="n"/>
      <c r="X43" s="21" t="inlineStr">
        <is>
          <t>[small hollow pentagon]</t>
        </is>
      </c>
      <c r="Y43" s="21" t="inlineStr">
        <is>
          <t>[large hollow circle]</t>
        </is>
      </c>
      <c r="Z43" s="21" t="inlineStr">
        <is>
          <t>[large hollow triangle]</t>
        </is>
      </c>
      <c r="AA43" s="22" t="inlineStr">
        <is>
          <t>A</t>
        </is>
      </c>
      <c r="AB43" s="23" t="n">
        <v>1</v>
      </c>
      <c r="AC43" s="16" t="inlineStr">
        <is>
          <t>B/C=large+hollow (majority)</t>
        </is>
      </c>
      <c r="AD43" s="16" t="inlineStr">
        <is>
          <t>Gf_B1_043</t>
        </is>
      </c>
      <c r="AE43" s="16" t="n">
        <v>0.2</v>
      </c>
      <c r="AF43" s="16" t="inlineStr">
        <is>
          <t>induction</t>
        </is>
      </c>
      <c r="AG43" s="16" t="inlineStr">
        <is>
          <t>no_dif</t>
        </is>
      </c>
      <c r="AH43" s="16" t="inlineStr">
        <is>
          <t>untested</t>
        </is>
      </c>
      <c r="AI43" s="16" t="n">
        <v>0</v>
      </c>
      <c r="AJ43" s="24" t="inlineStr">
        <is>
          <t>UNCHANGED</t>
        </is>
      </c>
      <c r="AK43" s="25" t="inlineStr">
        <is>
          <t>Rule: 3 large+hollow, 1 small+hollow. Odd-one-out on size only (shading constant).</t>
        </is>
      </c>
    </row>
    <row r="44" ht="52" customHeight="1">
      <c r="A44" s="4" t="inlineStr">
        <is>
          <t>Gf_B1_045</t>
        </is>
      </c>
      <c r="B44" s="5" t="inlineStr">
        <is>
          <t>Gf</t>
        </is>
      </c>
      <c r="C44" s="5" t="inlineStr">
        <is>
          <t>8-10</t>
        </is>
      </c>
      <c r="D44" s="5" t="inlineStr">
        <is>
          <t>concrete_operations</t>
        </is>
      </c>
      <c r="E44" s="5" t="inlineStr">
        <is>
          <t>Induction</t>
        </is>
      </c>
      <c r="F44" s="5" t="inlineStr">
        <is>
          <t>I</t>
        </is>
      </c>
      <c r="G44" s="5" t="inlineStr">
        <is>
          <t>matrix_2x2</t>
        </is>
      </c>
      <c r="H44" s="5" t="inlineStr">
        <is>
          <t>size_change+shape_change</t>
        </is>
      </c>
      <c r="I44" s="5" t="n">
        <v>2</v>
      </c>
      <c r="J44" s="5" t="inlineStr">
        <is>
          <t>figural</t>
        </is>
      </c>
      <c r="K44" s="67" t="inlineStr">
        <is>
          <t>hard</t>
        </is>
      </c>
      <c r="L44" s="7" t="n">
        <v>0.85</v>
      </c>
      <c r="M44" s="7" t="n">
        <v>1.2</v>
      </c>
      <c r="N44" s="7" t="n">
        <v>0.33</v>
      </c>
      <c r="O44" s="8" t="inlineStr">
        <is>
          <t>FALSE</t>
        </is>
      </c>
      <c r="P44" s="5" t="n">
        <v>45</v>
      </c>
      <c r="Q44" s="5" t="inlineStr">
        <is>
          <t>image</t>
        </is>
      </c>
      <c r="R44" s="5" t="inlineStr">
        <is>
          <t>3-choice</t>
        </is>
      </c>
      <c r="S44" s="8" t="inlineStr">
        <is>
          <t>FALSE</t>
        </is>
      </c>
      <c r="T44" s="8" t="n"/>
      <c r="U44" s="10" t="inlineStr">
        <is>
          <t>Which shape completes the grid?</t>
        </is>
      </c>
      <c r="V44" s="10" t="inlineStr">
        <is>
          <t>Row 1: [large circle] | [large triangle]</t>
        </is>
      </c>
      <c r="W44" s="10" t="inlineStr">
        <is>
          <t>Row 2: [small circle] | [?]</t>
        </is>
      </c>
      <c r="X44" s="10" t="inlineStr">
        <is>
          <t>[large triangle]</t>
        </is>
      </c>
      <c r="Y44" s="10" t="inlineStr">
        <is>
          <t>[small circle]</t>
        </is>
      </c>
      <c r="Z44" s="10" t="inlineStr">
        <is>
          <t>[small triangle]</t>
        </is>
      </c>
      <c r="AA44" s="53" t="inlineStr">
        <is>
          <t>C</t>
        </is>
      </c>
      <c r="AB44" s="12" t="n">
        <v>3</v>
      </c>
      <c r="AC44" s="5" t="inlineStr">
        <is>
          <t>A=size wrong; B=shape wrong</t>
        </is>
      </c>
      <c r="AD44" s="5" t="inlineStr">
        <is>
          <t>Gf_B1_044;Gf_B1_046</t>
        </is>
      </c>
      <c r="AE44" s="5" t="n">
        <v>0.2</v>
      </c>
      <c r="AF44" s="5" t="inlineStr">
        <is>
          <t>induction</t>
        </is>
      </c>
      <c r="AG44" s="5" t="inlineStr">
        <is>
          <t>no_dif</t>
        </is>
      </c>
      <c r="AH44" s="5" t="inlineStr">
        <is>
          <t>untested</t>
        </is>
      </c>
      <c r="AI44" s="5" t="n">
        <v>0</v>
      </c>
      <c r="AJ44" s="27" t="inlineStr">
        <is>
          <t>CORRECT_IDX — content unchanged. Correct answer moved from A to C (redistribution).</t>
        </is>
      </c>
      <c r="AK44" s="14" t="inlineStr">
        <is>
          <t>Rule: col1=circle, col2=triangle; row1=large, row2=small.</t>
        </is>
      </c>
    </row>
    <row r="45" ht="52" customHeight="1">
      <c r="A45" s="15" t="inlineStr">
        <is>
          <t>Gf_B1_046</t>
        </is>
      </c>
      <c r="B45" s="16" t="inlineStr">
        <is>
          <t>Gf</t>
        </is>
      </c>
      <c r="C45" s="16" t="inlineStr">
        <is>
          <t>8-10</t>
        </is>
      </c>
      <c r="D45" s="16" t="inlineStr">
        <is>
          <t>concrete_operations</t>
        </is>
      </c>
      <c r="E45" s="16" t="inlineStr">
        <is>
          <t>Induction</t>
        </is>
      </c>
      <c r="F45" s="16" t="inlineStr">
        <is>
          <t>I</t>
        </is>
      </c>
      <c r="G45" s="16" t="inlineStr">
        <is>
          <t>series_linear</t>
        </is>
      </c>
      <c r="H45" s="16" t="inlineStr">
        <is>
          <t>size_change+shading_pattern</t>
        </is>
      </c>
      <c r="I45" s="16" t="n">
        <v>2</v>
      </c>
      <c r="J45" s="16" t="inlineStr">
        <is>
          <t>figural</t>
        </is>
      </c>
      <c r="K45" s="68" t="inlineStr">
        <is>
          <t>hard</t>
        </is>
      </c>
      <c r="L45" s="18" t="n">
        <v>0.9</v>
      </c>
      <c r="M45" s="18" t="n">
        <v>1.2</v>
      </c>
      <c r="N45" s="18" t="n">
        <v>0.33</v>
      </c>
      <c r="O45" s="19" t="inlineStr">
        <is>
          <t>FALSE</t>
        </is>
      </c>
      <c r="P45" s="16" t="n">
        <v>45</v>
      </c>
      <c r="Q45" s="16" t="inlineStr">
        <is>
          <t>image</t>
        </is>
      </c>
      <c r="R45" s="16" t="inlineStr">
        <is>
          <t>3-choice</t>
        </is>
      </c>
      <c r="S45" s="19" t="inlineStr">
        <is>
          <t>FALSE</t>
        </is>
      </c>
      <c r="T45" s="19" t="n"/>
      <c r="U45" s="21" t="inlineStr">
        <is>
          <t>What comes next in the pattern?</t>
        </is>
      </c>
      <c r="V45" s="21" t="inlineStr">
        <is>
          <t>[large filled square] → [large hollow square] → [medium filled square] → [medium hollow square] → ?</t>
        </is>
      </c>
      <c r="W45" s="21" t="n"/>
      <c r="X45" s="21" t="inlineStr">
        <is>
          <t>[small filled square]</t>
        </is>
      </c>
      <c r="Y45" s="21" t="inlineStr">
        <is>
          <t>[small hollow square]</t>
        </is>
      </c>
      <c r="Z45" s="21" t="inlineStr">
        <is>
          <t>[medium filled square]</t>
        </is>
      </c>
      <c r="AA45" s="22" t="inlineStr">
        <is>
          <t>A</t>
        </is>
      </c>
      <c r="AB45" s="23" t="n">
        <v>1</v>
      </c>
      <c r="AC45" s="16" t="inlineStr">
        <is>
          <t>B=shading wrong (should be filled at this step); C=size didn't advance</t>
        </is>
      </c>
      <c r="AD45" s="16" t="inlineStr">
        <is>
          <t>Gf_B1_045</t>
        </is>
      </c>
      <c r="AE45" s="16" t="n">
        <v>0.2</v>
      </c>
      <c r="AF45" s="16" t="inlineStr">
        <is>
          <t>induction</t>
        </is>
      </c>
      <c r="AG45" s="16" t="inlineStr">
        <is>
          <t>no_dif</t>
        </is>
      </c>
      <c r="AH45" s="16" t="inlineStr">
        <is>
          <t>untested</t>
        </is>
      </c>
      <c r="AI45" s="16" t="n">
        <v>0</v>
      </c>
      <c r="AJ45" s="24" t="inlineStr">
        <is>
          <t>UNCHANGED</t>
        </is>
      </c>
      <c r="AK45" s="25" t="inlineStr">
        <is>
          <t>Rule: size decreases (large→medium→small) AND shading alternates filled/hollow. Two interleaved rules.</t>
        </is>
      </c>
    </row>
    <row r="46" ht="52" customHeight="1">
      <c r="A46" s="4" t="inlineStr">
        <is>
          <t>Gf_B1_047</t>
        </is>
      </c>
      <c r="B46" s="5" t="inlineStr">
        <is>
          <t>Gf</t>
        </is>
      </c>
      <c r="C46" s="5" t="inlineStr">
        <is>
          <t>8-10</t>
        </is>
      </c>
      <c r="D46" s="5" t="inlineStr">
        <is>
          <t>concrete_operations</t>
        </is>
      </c>
      <c r="E46" s="5" t="inlineStr">
        <is>
          <t>Induction</t>
        </is>
      </c>
      <c r="F46" s="5" t="inlineStr">
        <is>
          <t>I</t>
        </is>
      </c>
      <c r="G46" s="5" t="inlineStr">
        <is>
          <t>analogy_figural</t>
        </is>
      </c>
      <c r="H46" s="5" t="inlineStr">
        <is>
          <t>number_of_elements+shape_change</t>
        </is>
      </c>
      <c r="I46" s="5" t="n">
        <v>2</v>
      </c>
      <c r="J46" s="5" t="inlineStr">
        <is>
          <t>figural</t>
        </is>
      </c>
      <c r="K46" s="67" t="inlineStr">
        <is>
          <t>hard</t>
        </is>
      </c>
      <c r="L46" s="7" t="n">
        <v>0.95</v>
      </c>
      <c r="M46" s="7" t="n">
        <v>1.2</v>
      </c>
      <c r="N46" s="7" t="n">
        <v>0.33</v>
      </c>
      <c r="O46" s="8" t="inlineStr">
        <is>
          <t>FALSE</t>
        </is>
      </c>
      <c r="P46" s="5" t="n">
        <v>45</v>
      </c>
      <c r="Q46" s="5" t="inlineStr">
        <is>
          <t>image</t>
        </is>
      </c>
      <c r="R46" s="5" t="inlineStr">
        <is>
          <t>3-choice</t>
        </is>
      </c>
      <c r="S46" s="8" t="inlineStr">
        <is>
          <t>FALSE</t>
        </is>
      </c>
      <c r="T46" s="8" t="n"/>
      <c r="U46" s="10" t="inlineStr">
        <is>
          <t>Four circles is to two squares as six circles is to…?</t>
        </is>
      </c>
      <c r="V46" s="10" t="inlineStr">
        <is>
          <t>[4 circles] : [2 squares] :: [6 circles] : [?]</t>
        </is>
      </c>
      <c r="W46" s="10" t="n"/>
      <c r="X46" s="10" t="inlineStr">
        <is>
          <t>[4 squares]</t>
        </is>
      </c>
      <c r="Y46" s="10" t="inlineStr">
        <is>
          <t>[3 circles]</t>
        </is>
      </c>
      <c r="Z46" s="10" t="inlineStr">
        <is>
          <t>[3 squares]</t>
        </is>
      </c>
      <c r="AA46" s="53" t="inlineStr">
        <is>
          <t>C</t>
        </is>
      </c>
      <c r="AB46" s="12" t="n">
        <v>3</v>
      </c>
      <c r="AC46" s="5" t="inlineStr">
        <is>
          <t>A=count wrong; B=shape unchanged</t>
        </is>
      </c>
      <c r="AD46" s="5" t="inlineStr">
        <is>
          <t>Gf_B1_048</t>
        </is>
      </c>
      <c r="AE46" s="5" t="n">
        <v>0.2</v>
      </c>
      <c r="AF46" s="5" t="inlineStr">
        <is>
          <t>induction</t>
        </is>
      </c>
      <c r="AG46" s="5" t="inlineStr">
        <is>
          <t>no_dif</t>
        </is>
      </c>
      <c r="AH46" s="5" t="inlineStr">
        <is>
          <t>untested</t>
        </is>
      </c>
      <c r="AI46" s="5" t="n">
        <v>0</v>
      </c>
      <c r="AJ46" s="27" t="inlineStr">
        <is>
          <t>CORRECT_IDX — content unchanged. Correct answer moved from A to C (redistribution).</t>
        </is>
      </c>
      <c r="AK46" s="14" t="inlineStr">
        <is>
          <t>Rule: ÷2 count + circle→square. 4÷2=2→squares; 6÷2=3→squares.</t>
        </is>
      </c>
    </row>
    <row r="47" ht="52" customHeight="1">
      <c r="A47" s="31" t="inlineStr">
        <is>
          <t>Gf_B1_049</t>
        </is>
      </c>
      <c r="B47" s="32" t="inlineStr">
        <is>
          <t>Gf</t>
        </is>
      </c>
      <c r="C47" s="32" t="inlineStr">
        <is>
          <t>8-10</t>
        </is>
      </c>
      <c r="D47" s="32" t="inlineStr">
        <is>
          <t>concrete_operations</t>
        </is>
      </c>
      <c r="E47" s="32" t="inlineStr">
        <is>
          <t>Induction</t>
        </is>
      </c>
      <c r="F47" s="32" t="inlineStr">
        <is>
          <t>I</t>
        </is>
      </c>
      <c r="G47" s="32" t="inlineStr">
        <is>
          <t>matrix_2x2</t>
        </is>
      </c>
      <c r="H47" s="32" t="inlineStr">
        <is>
          <t>number_of_elements+shading_pattern</t>
        </is>
      </c>
      <c r="I47" s="32" t="n">
        <v>2</v>
      </c>
      <c r="J47" s="32" t="inlineStr">
        <is>
          <t>figural</t>
        </is>
      </c>
      <c r="K47" s="69" t="inlineStr">
        <is>
          <t>hard</t>
        </is>
      </c>
      <c r="L47" s="34" t="n">
        <v>1</v>
      </c>
      <c r="M47" s="34" t="n">
        <v>1.2</v>
      </c>
      <c r="N47" s="34" t="n">
        <v>0.33</v>
      </c>
      <c r="O47" s="35" t="inlineStr">
        <is>
          <t>FALSE</t>
        </is>
      </c>
      <c r="P47" s="32" t="n">
        <v>45</v>
      </c>
      <c r="Q47" s="32" t="inlineStr">
        <is>
          <t>image</t>
        </is>
      </c>
      <c r="R47" s="32" t="inlineStr">
        <is>
          <t>3-choice</t>
        </is>
      </c>
      <c r="S47" s="35" t="inlineStr">
        <is>
          <t>FALSE</t>
        </is>
      </c>
      <c r="T47" s="35" t="n"/>
      <c r="U47" s="36" t="inlineStr">
        <is>
          <t>Which shape completes the grid?</t>
        </is>
      </c>
      <c r="V47" s="36" t="inlineStr">
        <is>
          <t>Row 1: [2 filled circles] | [1 hollow circle]</t>
        </is>
      </c>
      <c r="W47" s="36" t="inlineStr">
        <is>
          <t>Row 2: [2 filled triangles] | [?]</t>
        </is>
      </c>
      <c r="X47" s="36" t="inlineStr">
        <is>
          <t>[2 hollow triangles]</t>
        </is>
      </c>
      <c r="Y47" s="36" t="inlineStr">
        <is>
          <t>[1 hollow triangle]</t>
        </is>
      </c>
      <c r="Z47" s="36" t="inlineStr">
        <is>
          <t>[1 filled triangle]</t>
        </is>
      </c>
      <c r="AA47" s="51" t="inlineStr">
        <is>
          <t>B</t>
        </is>
      </c>
      <c r="AB47" s="38" t="n">
        <v>2</v>
      </c>
      <c r="AC47" s="32" t="inlineStr">
        <is>
          <t>A=count wrong; C=shading wrong</t>
        </is>
      </c>
      <c r="AD47" s="32" t="inlineStr">
        <is>
          <t>Gf_B1_050</t>
        </is>
      </c>
      <c r="AE47" s="32" t="n">
        <v>0.2</v>
      </c>
      <c r="AF47" s="32" t="inlineStr">
        <is>
          <t>induction</t>
        </is>
      </c>
      <c r="AG47" s="32" t="inlineStr">
        <is>
          <t>no_dif</t>
        </is>
      </c>
      <c r="AH47" s="32" t="inlineStr">
        <is>
          <t>untested</t>
        </is>
      </c>
      <c r="AI47" s="32" t="n">
        <v>0</v>
      </c>
      <c r="AJ47" s="39" t="inlineStr">
        <is>
          <t>VALIDITY_FIX — original ruleType listed size+count+shading (3 dims), exceeding Band 1 cap of 2. Note acknowledged only 2 active but metadata was inconsistent. Fixed: size removed from rule (all shapes same size in both rows). ruleType now count+shading only. ruleDimensions=2. Correct answer moved to B (redistribution).</t>
        </is>
      </c>
      <c r="AK47" s="40" t="inlineStr">
        <is>
          <t>Rule: col1=2 shapes, col2=1 shape (count); row1=filled, row2=hollow (shading). 2 dims only. Shape size constant throughout (removed as rule dimension).</t>
        </is>
      </c>
    </row>
    <row r="48" ht="52" customHeight="1">
      <c r="A48" s="4" t="inlineStr">
        <is>
          <t>Gf_B1_050</t>
        </is>
      </c>
      <c r="B48" s="5" t="inlineStr">
        <is>
          <t>Gf</t>
        </is>
      </c>
      <c r="C48" s="5" t="inlineStr">
        <is>
          <t>8-10</t>
        </is>
      </c>
      <c r="D48" s="5" t="inlineStr">
        <is>
          <t>concrete_operations</t>
        </is>
      </c>
      <c r="E48" s="5" t="inlineStr">
        <is>
          <t>Induction</t>
        </is>
      </c>
      <c r="F48" s="5" t="inlineStr">
        <is>
          <t>I</t>
        </is>
      </c>
      <c r="G48" s="5" t="inlineStr">
        <is>
          <t>series_linear</t>
        </is>
      </c>
      <c r="H48" s="5" t="inlineStr">
        <is>
          <t>number_of_elements+shading_pattern</t>
        </is>
      </c>
      <c r="I48" s="5" t="n">
        <v>2</v>
      </c>
      <c r="J48" s="5" t="inlineStr">
        <is>
          <t>figural</t>
        </is>
      </c>
      <c r="K48" s="67" t="inlineStr">
        <is>
          <t>hard</t>
        </is>
      </c>
      <c r="L48" s="7" t="n">
        <v>1.05</v>
      </c>
      <c r="M48" s="7" t="n">
        <v>1.2</v>
      </c>
      <c r="N48" s="7" t="n">
        <v>0.33</v>
      </c>
      <c r="O48" s="8" t="inlineStr">
        <is>
          <t>FALSE</t>
        </is>
      </c>
      <c r="P48" s="5" t="n">
        <v>45</v>
      </c>
      <c r="Q48" s="5" t="inlineStr">
        <is>
          <t>image</t>
        </is>
      </c>
      <c r="R48" s="5" t="inlineStr">
        <is>
          <t>3-choice</t>
        </is>
      </c>
      <c r="S48" s="8" t="inlineStr">
        <is>
          <t>FALSE</t>
        </is>
      </c>
      <c r="T48" s="8" t="n"/>
      <c r="U48" s="10" t="inlineStr">
        <is>
          <t>What comes next in the pattern?</t>
        </is>
      </c>
      <c r="V48" s="10" t="inlineStr">
        <is>
          <t>[1 hollow star] → [2 filled stars] → [3 hollow stars] → [4 filled stars] → ?</t>
        </is>
      </c>
      <c r="W48" s="10" t="n"/>
      <c r="X48" s="10" t="inlineStr">
        <is>
          <t>[5 filled stars]</t>
        </is>
      </c>
      <c r="Y48" s="10" t="inlineStr">
        <is>
          <t>[4 hollow stars]</t>
        </is>
      </c>
      <c r="Z48" s="10" t="inlineStr">
        <is>
          <t>[5 hollow stars]</t>
        </is>
      </c>
      <c r="AA48" s="53" t="inlineStr">
        <is>
          <t>C</t>
        </is>
      </c>
      <c r="AB48" s="12" t="n">
        <v>3</v>
      </c>
      <c r="AC48" s="5" t="inlineStr">
        <is>
          <t>A=shading wrong; B=count wrong</t>
        </is>
      </c>
      <c r="AD48" s="5" t="inlineStr">
        <is>
          <t>Gf_B1_049</t>
        </is>
      </c>
      <c r="AE48" s="5" t="n">
        <v>0.2</v>
      </c>
      <c r="AF48" s="5" t="inlineStr">
        <is>
          <t>induction</t>
        </is>
      </c>
      <c r="AG48" s="5" t="inlineStr">
        <is>
          <t>no_dif</t>
        </is>
      </c>
      <c r="AH48" s="5" t="inlineStr">
        <is>
          <t>untested</t>
        </is>
      </c>
      <c r="AI48" s="5" t="n">
        <v>0</v>
      </c>
      <c r="AJ48" s="27" t="inlineStr">
        <is>
          <t>CORRECT_IDX — content unchanged. Correct answer moved from A to C (redistribution).</t>
        </is>
      </c>
      <c r="AK48" s="14" t="inlineStr">
        <is>
          <t>Rule: count +1 AND shading alternates hollow/filled. Two concurrent rules.</t>
        </is>
      </c>
    </row>
    <row r="49" ht="52" customHeight="1">
      <c r="A49" s="15" t="inlineStr">
        <is>
          <t>Gf_B1_052</t>
        </is>
      </c>
      <c r="B49" s="16" t="inlineStr">
        <is>
          <t>Gf</t>
        </is>
      </c>
      <c r="C49" s="16" t="inlineStr">
        <is>
          <t>8-10</t>
        </is>
      </c>
      <c r="D49" s="16" t="inlineStr">
        <is>
          <t>concrete_operations</t>
        </is>
      </c>
      <c r="E49" s="16" t="inlineStr">
        <is>
          <t>Induction</t>
        </is>
      </c>
      <c r="F49" s="16" t="inlineStr">
        <is>
          <t>I</t>
        </is>
      </c>
      <c r="G49" s="16" t="inlineStr">
        <is>
          <t>odd_one_out_basic</t>
        </is>
      </c>
      <c r="H49" s="16" t="inlineStr">
        <is>
          <t>shape_change+size_change</t>
        </is>
      </c>
      <c r="I49" s="16" t="n">
        <v>2</v>
      </c>
      <c r="J49" s="16" t="inlineStr">
        <is>
          <t>figural</t>
        </is>
      </c>
      <c r="K49" s="68" t="inlineStr">
        <is>
          <t>hard</t>
        </is>
      </c>
      <c r="L49" s="18" t="n">
        <v>1.15</v>
      </c>
      <c r="M49" s="18" t="n">
        <v>1.2</v>
      </c>
      <c r="N49" s="18" t="n">
        <v>0.33</v>
      </c>
      <c r="O49" s="19" t="inlineStr">
        <is>
          <t>FALSE</t>
        </is>
      </c>
      <c r="P49" s="16" t="n">
        <v>45</v>
      </c>
      <c r="Q49" s="16" t="inlineStr">
        <is>
          <t>image</t>
        </is>
      </c>
      <c r="R49" s="16" t="inlineStr">
        <is>
          <t>3-choice</t>
        </is>
      </c>
      <c r="S49" s="19" t="inlineStr">
        <is>
          <t>FALSE</t>
        </is>
      </c>
      <c r="T49" s="19" t="n"/>
      <c r="U49" s="21" t="inlineStr">
        <is>
          <t>Three shapes share two features. Which does NOT belong?</t>
        </is>
      </c>
      <c r="V49" s="21" t="inlineStr">
        <is>
          <t>[large circle] | [large square] | [small triangle] | [large pentagon]</t>
        </is>
      </c>
      <c r="W49" s="21" t="n"/>
      <c r="X49" s="21" t="inlineStr">
        <is>
          <t>[large square]</t>
        </is>
      </c>
      <c r="Y49" s="21" t="inlineStr">
        <is>
          <t>[small triangle]</t>
        </is>
      </c>
      <c r="Z49" s="21" t="inlineStr">
        <is>
          <t>[large pentagon]</t>
        </is>
      </c>
      <c r="AA49" s="28" t="inlineStr">
        <is>
          <t>B</t>
        </is>
      </c>
      <c r="AB49" s="23" t="n">
        <v>2</v>
      </c>
      <c r="AC49" s="16" t="inlineStr">
        <is>
          <t>A/C=large (majority); B=small (odd one out)</t>
        </is>
      </c>
      <c r="AD49" s="16" t="inlineStr">
        <is>
          <t>Gf_B1_051</t>
        </is>
      </c>
      <c r="AE49" s="16" t="n">
        <v>0.2</v>
      </c>
      <c r="AF49" s="16" t="inlineStr">
        <is>
          <t>induction</t>
        </is>
      </c>
      <c r="AG49" s="16" t="inlineStr">
        <is>
          <t>no_dif</t>
        </is>
      </c>
      <c r="AH49" s="16" t="inlineStr">
        <is>
          <t>untested</t>
        </is>
      </c>
      <c r="AI49" s="16" t="n">
        <v>0</v>
      </c>
      <c r="AJ49" s="29" t="inlineStr">
        <is>
          <t>CORRECT_IDX — content unchanged. Correct answer moved from A to B (redistribution).</t>
        </is>
      </c>
      <c r="AK49" s="25" t="inlineStr">
        <is>
          <t>Rule: 3 large (different shapes) + 1 small. Odd-one-out on size.</t>
        </is>
      </c>
    </row>
    <row r="50" ht="52" customHeight="1">
      <c r="A50" s="31" t="inlineStr">
        <is>
          <t>Gf_B1_054</t>
        </is>
      </c>
      <c r="B50" s="32" t="inlineStr">
        <is>
          <t>Gf</t>
        </is>
      </c>
      <c r="C50" s="32" t="inlineStr">
        <is>
          <t>8-10</t>
        </is>
      </c>
      <c r="D50" s="32" t="inlineStr">
        <is>
          <t>concrete_operations</t>
        </is>
      </c>
      <c r="E50" s="32" t="inlineStr">
        <is>
          <t>Induction</t>
        </is>
      </c>
      <c r="F50" s="32" t="inlineStr">
        <is>
          <t>I</t>
        </is>
      </c>
      <c r="G50" s="32" t="inlineStr">
        <is>
          <t>analogy_figural</t>
        </is>
      </c>
      <c r="H50" s="32" t="inlineStr">
        <is>
          <t>shading_pattern+size_change</t>
        </is>
      </c>
      <c r="I50" s="32" t="n">
        <v>2</v>
      </c>
      <c r="J50" s="32" t="inlineStr">
        <is>
          <t>figural</t>
        </is>
      </c>
      <c r="K50" s="69" t="inlineStr">
        <is>
          <t>hard</t>
        </is>
      </c>
      <c r="L50" s="34" t="n">
        <v>1.2</v>
      </c>
      <c r="M50" s="34" t="n">
        <v>1.2</v>
      </c>
      <c r="N50" s="34" t="n">
        <v>0.33</v>
      </c>
      <c r="O50" s="35" t="inlineStr">
        <is>
          <t>FALSE</t>
        </is>
      </c>
      <c r="P50" s="32" t="n">
        <v>45</v>
      </c>
      <c r="Q50" s="32" t="inlineStr">
        <is>
          <t>image</t>
        </is>
      </c>
      <c r="R50" s="32" t="inlineStr">
        <is>
          <t>3-choice</t>
        </is>
      </c>
      <c r="S50" s="35" t="inlineStr">
        <is>
          <t>FALSE</t>
        </is>
      </c>
      <c r="T50" s="35" t="n"/>
      <c r="U50" s="36" t="inlineStr">
        <is>
          <t>Large hollow square is to small filled square as large hollow circle is to…?</t>
        </is>
      </c>
      <c r="V50" s="36" t="inlineStr">
        <is>
          <t>[large hollow square] : [small filled square] :: [large hollow circle] : [?]</t>
        </is>
      </c>
      <c r="W50" s="36" t="n"/>
      <c r="X50" s="36" t="inlineStr">
        <is>
          <t>[small filled circle]</t>
        </is>
      </c>
      <c r="Y50" s="36" t="inlineStr">
        <is>
          <t>[large filled circle]</t>
        </is>
      </c>
      <c r="Z50" s="36" t="inlineStr">
        <is>
          <t>[small hollow circle]</t>
        </is>
      </c>
      <c r="AA50" s="70" t="inlineStr">
        <is>
          <t>A</t>
        </is>
      </c>
      <c r="AB50" s="38" t="n">
        <v>1</v>
      </c>
      <c r="AC50" s="32" t="inlineStr">
        <is>
          <t>B=size wrong; C=shading wrong</t>
        </is>
      </c>
      <c r="AD50" s="32" t="inlineStr">
        <is>
          <t>Gf_B1_053</t>
        </is>
      </c>
      <c r="AE50" s="32" t="n">
        <v>0.2</v>
      </c>
      <c r="AF50" s="32" t="inlineStr">
        <is>
          <t>induction</t>
        </is>
      </c>
      <c r="AG50" s="32" t="inlineStr">
        <is>
          <t>no_dif</t>
        </is>
      </c>
      <c r="AH50" s="32" t="inlineStr">
        <is>
          <t>untested</t>
        </is>
      </c>
      <c r="AI50" s="32" t="n">
        <v>0</v>
      </c>
      <c r="AJ50" s="39" t="inlineStr">
        <is>
          <t>VALIDITY_FIX — original had 3 simultaneous rule dimensions (size+count+shading), exceeding Band 1 cap of 2 per manual §Gf spec. Count dimension dropped. Redesigned as clean 2-dim analogy: size (large→small) + shading (hollow→filled). Max 1 shape per option. Fully renderable.</t>
        </is>
      </c>
      <c r="AK50" s="40" t="inlineStr">
        <is>
          <t>Rule: large→small AND hollow→filled. 2 dims only. Max 1 shape per option. B=size wrong; C=shading wrong.</t>
        </is>
      </c>
    </row>
    <row r="51" ht="52" customHeight="1">
      <c r="A51" s="15" t="inlineStr">
        <is>
          <t>Gf_B1_055</t>
        </is>
      </c>
      <c r="B51" s="16" t="inlineStr">
        <is>
          <t>Gf</t>
        </is>
      </c>
      <c r="C51" s="16" t="inlineStr">
        <is>
          <t>8-10</t>
        </is>
      </c>
      <c r="D51" s="16" t="inlineStr">
        <is>
          <t>concrete_operations</t>
        </is>
      </c>
      <c r="E51" s="16" t="inlineStr">
        <is>
          <t>Induction</t>
        </is>
      </c>
      <c r="F51" s="16" t="inlineStr">
        <is>
          <t>I</t>
        </is>
      </c>
      <c r="G51" s="16" t="inlineStr">
        <is>
          <t>series_linear</t>
        </is>
      </c>
      <c r="H51" s="16" t="inlineStr">
        <is>
          <t>shape_change+size_change</t>
        </is>
      </c>
      <c r="I51" s="16" t="n">
        <v>2</v>
      </c>
      <c r="J51" s="16" t="inlineStr">
        <is>
          <t>figural</t>
        </is>
      </c>
      <c r="K51" s="68" t="inlineStr">
        <is>
          <t>hard</t>
        </is>
      </c>
      <c r="L51" s="18" t="n">
        <v>1.25</v>
      </c>
      <c r="M51" s="18" t="n">
        <v>1.2</v>
      </c>
      <c r="N51" s="18" t="n">
        <v>0.33</v>
      </c>
      <c r="O51" s="19" t="inlineStr">
        <is>
          <t>FALSE</t>
        </is>
      </c>
      <c r="P51" s="16" t="n">
        <v>45</v>
      </c>
      <c r="Q51" s="16" t="inlineStr">
        <is>
          <t>image</t>
        </is>
      </c>
      <c r="R51" s="16" t="inlineStr">
        <is>
          <t>3-choice</t>
        </is>
      </c>
      <c r="S51" s="19" t="inlineStr">
        <is>
          <t>FALSE</t>
        </is>
      </c>
      <c r="T51" s="19" t="n"/>
      <c r="U51" s="21" t="inlineStr">
        <is>
          <t>What comes next in the pattern?</t>
        </is>
      </c>
      <c r="V51" s="21" t="inlineStr">
        <is>
          <t>[small circle] → [large square] → [small triangle] → [large circle] → ?</t>
        </is>
      </c>
      <c r="W51" s="21" t="n"/>
      <c r="X51" s="21" t="inlineStr">
        <is>
          <t>[large square]</t>
        </is>
      </c>
      <c r="Y51" s="21" t="inlineStr">
        <is>
          <t>[small square]</t>
        </is>
      </c>
      <c r="Z51" s="21" t="inlineStr">
        <is>
          <t>[small circle]</t>
        </is>
      </c>
      <c r="AA51" s="28" t="inlineStr">
        <is>
          <t>B</t>
        </is>
      </c>
      <c r="AB51" s="23" t="n">
        <v>2</v>
      </c>
      <c r="AC51" s="16" t="inlineStr">
        <is>
          <t>A=size wrong; C=shape wrong</t>
        </is>
      </c>
      <c r="AD51" s="16" t="inlineStr">
        <is>
          <t>Gf_B1_056</t>
        </is>
      </c>
      <c r="AE51" s="16" t="n">
        <v>0.2</v>
      </c>
      <c r="AF51" s="16" t="inlineStr">
        <is>
          <t>induction</t>
        </is>
      </c>
      <c r="AG51" s="16" t="inlineStr">
        <is>
          <t>no_dif</t>
        </is>
      </c>
      <c r="AH51" s="16" t="inlineStr">
        <is>
          <t>untested</t>
        </is>
      </c>
      <c r="AI51" s="16" t="n">
        <v>0</v>
      </c>
      <c r="AJ51" s="29" t="inlineStr">
        <is>
          <t>CORRECT_IDX — content unchanged. Correct answer moved from A to B (redistribution).</t>
        </is>
      </c>
      <c r="AK51" s="25" t="inlineStr">
        <is>
          <t>Rule: size alternates small/large AND shape cycles circle→square→triangle.</t>
        </is>
      </c>
    </row>
    <row r="52" ht="52" customHeight="1">
      <c r="A52" s="4" t="inlineStr">
        <is>
          <t>Gf_B1_057</t>
        </is>
      </c>
      <c r="B52" s="5" t="inlineStr">
        <is>
          <t>Gf</t>
        </is>
      </c>
      <c r="C52" s="5" t="inlineStr">
        <is>
          <t>8-10</t>
        </is>
      </c>
      <c r="D52" s="5" t="inlineStr">
        <is>
          <t>concrete_operations</t>
        </is>
      </c>
      <c r="E52" s="5" t="inlineStr">
        <is>
          <t>Induction</t>
        </is>
      </c>
      <c r="F52" s="5" t="inlineStr">
        <is>
          <t>I</t>
        </is>
      </c>
      <c r="G52" s="5" t="inlineStr">
        <is>
          <t>matrix_2x2</t>
        </is>
      </c>
      <c r="H52" s="5" t="inlineStr">
        <is>
          <t>shape_change+number_of_elements</t>
        </is>
      </c>
      <c r="I52" s="5" t="n">
        <v>2</v>
      </c>
      <c r="J52" s="5" t="inlineStr">
        <is>
          <t>figural</t>
        </is>
      </c>
      <c r="K52" s="67" t="inlineStr">
        <is>
          <t>hard</t>
        </is>
      </c>
      <c r="L52" s="7" t="n">
        <v>1.35</v>
      </c>
      <c r="M52" s="7" t="n">
        <v>1.2</v>
      </c>
      <c r="N52" s="7" t="n">
        <v>0.33</v>
      </c>
      <c r="O52" s="8" t="inlineStr">
        <is>
          <t>FALSE</t>
        </is>
      </c>
      <c r="P52" s="5" t="n">
        <v>45</v>
      </c>
      <c r="Q52" s="5" t="inlineStr">
        <is>
          <t>image</t>
        </is>
      </c>
      <c r="R52" s="5" t="inlineStr">
        <is>
          <t>3-choice</t>
        </is>
      </c>
      <c r="S52" s="8" t="inlineStr">
        <is>
          <t>FALSE</t>
        </is>
      </c>
      <c r="T52" s="8" t="n"/>
      <c r="U52" s="10" t="inlineStr">
        <is>
          <t>Which shape completes the grid?</t>
        </is>
      </c>
      <c r="V52" s="10" t="inlineStr">
        <is>
          <t>Row 1: [1 circle] | [2 triangles]</t>
        </is>
      </c>
      <c r="W52" s="10" t="inlineStr">
        <is>
          <t>Row 2: [3 circles] | [?]</t>
        </is>
      </c>
      <c r="X52" s="10" t="inlineStr">
        <is>
          <t>[4 triangles]</t>
        </is>
      </c>
      <c r="Y52" s="10" t="inlineStr">
        <is>
          <t>[3 triangles]</t>
        </is>
      </c>
      <c r="Z52" s="10" t="inlineStr">
        <is>
          <t>[6 triangles]</t>
        </is>
      </c>
      <c r="AA52" s="53" t="inlineStr">
        <is>
          <t>C</t>
        </is>
      </c>
      <c r="AB52" s="12" t="n">
        <v>3</v>
      </c>
      <c r="AC52" s="5" t="inlineStr">
        <is>
          <t>A=count wrong; B=count wrong</t>
        </is>
      </c>
      <c r="AD52" s="5" t="inlineStr">
        <is>
          <t>Gf_B1_058</t>
        </is>
      </c>
      <c r="AE52" s="5" t="n">
        <v>0.2</v>
      </c>
      <c r="AF52" s="5" t="inlineStr">
        <is>
          <t>induction</t>
        </is>
      </c>
      <c r="AG52" s="5" t="inlineStr">
        <is>
          <t>no_dif</t>
        </is>
      </c>
      <c r="AH52" s="5" t="inlineStr">
        <is>
          <t>untested</t>
        </is>
      </c>
      <c r="AI52" s="5" t="n">
        <v>0</v>
      </c>
      <c r="AJ52" s="27" t="inlineStr">
        <is>
          <t>CORRECT_IDX — content unchanged. Max=6 triangles (2×3 grid), renderable. Correct answer moved from A to C (redistribution).</t>
        </is>
      </c>
      <c r="AK52" s="14" t="inlineStr">
        <is>
          <t>Rule: col2=col1×2 triangles. 1→2; 3→6. Shape: col1=circles, col2=triangles. Max=6.</t>
        </is>
      </c>
    </row>
    <row r="53" ht="52" customHeight="1">
      <c r="A53" s="57" t="inlineStr">
        <is>
          <t>Gf_B1_058</t>
        </is>
      </c>
      <c r="B53" s="58" t="inlineStr">
        <is>
          <t>Gf</t>
        </is>
      </c>
      <c r="C53" s="58" t="inlineStr">
        <is>
          <t>8-10</t>
        </is>
      </c>
      <c r="D53" s="58" t="inlineStr">
        <is>
          <t>concrete_operations</t>
        </is>
      </c>
      <c r="E53" s="58" t="inlineStr">
        <is>
          <t>Induction</t>
        </is>
      </c>
      <c r="F53" s="58" t="inlineStr">
        <is>
          <t>I</t>
        </is>
      </c>
      <c r="G53" s="58" t="inlineStr">
        <is>
          <t>series_linear</t>
        </is>
      </c>
      <c r="H53" s="58" t="inlineStr">
        <is>
          <t>shape_change+size_change</t>
        </is>
      </c>
      <c r="I53" s="58" t="n">
        <v>2</v>
      </c>
      <c r="J53" s="58" t="inlineStr">
        <is>
          <t>figural</t>
        </is>
      </c>
      <c r="K53" s="71" t="inlineStr">
        <is>
          <t>hard</t>
        </is>
      </c>
      <c r="L53" s="60" t="n">
        <v>1.4</v>
      </c>
      <c r="M53" s="60" t="n">
        <v>1.2</v>
      </c>
      <c r="N53" s="60" t="n">
        <v>0.33</v>
      </c>
      <c r="O53" s="61" t="inlineStr">
        <is>
          <t>FALSE</t>
        </is>
      </c>
      <c r="P53" s="58" t="n">
        <v>45</v>
      </c>
      <c r="Q53" s="58" t="inlineStr">
        <is>
          <t>image</t>
        </is>
      </c>
      <c r="R53" s="58" t="inlineStr">
        <is>
          <t>3-choice</t>
        </is>
      </c>
      <c r="S53" s="61" t="inlineStr">
        <is>
          <t>FALSE</t>
        </is>
      </c>
      <c r="T53" s="61" t="n"/>
      <c r="U53" s="62" t="inlineStr">
        <is>
          <t>What comes next in the pattern?</t>
        </is>
      </c>
      <c r="V53" s="62" t="inlineStr">
        <is>
          <t>[small diamond] → [large pentagon] → [small hexagon] → [large diamond] → ?</t>
        </is>
      </c>
      <c r="W53" s="62" t="n"/>
      <c r="X53" s="62" t="inlineStr">
        <is>
          <t>[small pentagon]</t>
        </is>
      </c>
      <c r="Y53" s="62" t="inlineStr">
        <is>
          <t>[small diamond]</t>
        </is>
      </c>
      <c r="Z53" s="62" t="inlineStr">
        <is>
          <t>[large pentagon]</t>
        </is>
      </c>
      <c r="AA53" s="72" t="inlineStr">
        <is>
          <t>C</t>
        </is>
      </c>
      <c r="AB53" s="64" t="n">
        <v>3</v>
      </c>
      <c r="AC53" s="58" t="inlineStr">
        <is>
          <t>A=size wrong (should be large); B=shape wrong (should be pentagon at this position)</t>
        </is>
      </c>
      <c r="AD53" s="58" t="inlineStr">
        <is>
          <t>Gf_B1_057</t>
        </is>
      </c>
      <c r="AE53" s="58" t="n">
        <v>0.2</v>
      </c>
      <c r="AF53" s="58" t="inlineStr">
        <is>
          <t>induction</t>
        </is>
      </c>
      <c r="AG53" s="58" t="inlineStr">
        <is>
          <t>no_dif</t>
        </is>
      </c>
      <c r="AH53" s="58" t="inlineStr">
        <is>
          <t>untested</t>
        </is>
      </c>
      <c r="AI53" s="58" t="n">
        <v>0</v>
      </c>
      <c r="AJ53" s="65" t="inlineStr">
        <is>
          <t>RENDER_FIX + VALIDITY_FIX — factorial series (1→2→6→24→[120]) replaced: (1) all counts unrenderable (24, 120); (2) factorial is a graduate-level maths concept not novel/discoverable (Gq contamination). Replaced with shape+size cycling series using less-familiar shapes (diamond, pentagon, hexagon) to preserve b≈1.4 difficulty. No counting required. Hard enemy with 057 (same rule family). Correct answer at C (redistribution). NOTE: differs from 055 by shape set (diamond/pentagon/hexagon vs circle/square/triangle).</t>
        </is>
      </c>
      <c r="AK53" s="66" t="inlineStr">
        <is>
          <t>Rule: size alternates small/large; shape cycles diamond→pentagon→hexagon→diamond→pentagon. Both rules must be tracked. Uses less-common shapes to increase difficulty. Hard enemy with 057 and 055.</t>
        </is>
      </c>
    </row>
    <row r="54" ht="52" customHeight="1">
      <c r="A54" s="31" t="inlineStr">
        <is>
          <t>Gf_B1_059</t>
        </is>
      </c>
      <c r="B54" s="32" t="inlineStr">
        <is>
          <t>Gf</t>
        </is>
      </c>
      <c r="C54" s="32" t="inlineStr">
        <is>
          <t>8-10</t>
        </is>
      </c>
      <c r="D54" s="32" t="inlineStr">
        <is>
          <t>concrete_operations</t>
        </is>
      </c>
      <c r="E54" s="32" t="inlineStr">
        <is>
          <t>Induction</t>
        </is>
      </c>
      <c r="F54" s="32" t="inlineStr">
        <is>
          <t>I</t>
        </is>
      </c>
      <c r="G54" s="32" t="inlineStr">
        <is>
          <t>analogy_figural</t>
        </is>
      </c>
      <c r="H54" s="32" t="inlineStr">
        <is>
          <t>shading_pattern+size_change</t>
        </is>
      </c>
      <c r="I54" s="32" t="n">
        <v>2</v>
      </c>
      <c r="J54" s="32" t="inlineStr">
        <is>
          <t>figural</t>
        </is>
      </c>
      <c r="K54" s="69" t="inlineStr">
        <is>
          <t>hard</t>
        </is>
      </c>
      <c r="L54" s="34" t="n">
        <v>1.45</v>
      </c>
      <c r="M54" s="34" t="n">
        <v>1.2</v>
      </c>
      <c r="N54" s="34" t="n">
        <v>0.33</v>
      </c>
      <c r="O54" s="35" t="inlineStr">
        <is>
          <t>FALSE</t>
        </is>
      </c>
      <c r="P54" s="32" t="n">
        <v>45</v>
      </c>
      <c r="Q54" s="32" t="inlineStr">
        <is>
          <t>image</t>
        </is>
      </c>
      <c r="R54" s="32" t="inlineStr">
        <is>
          <t>3-choice</t>
        </is>
      </c>
      <c r="S54" s="35" t="inlineStr">
        <is>
          <t>FALSE</t>
        </is>
      </c>
      <c r="T54" s="35" t="n"/>
      <c r="U54" s="36" t="inlineStr">
        <is>
          <t>Large filled hexagon is to small hollow hexagon as large filled pentagon is to…?</t>
        </is>
      </c>
      <c r="V54" s="36" t="inlineStr">
        <is>
          <t>[large filled hexagon] : [small hollow hexagon] :: [large filled pentagon] : [?]</t>
        </is>
      </c>
      <c r="W54" s="36" t="n"/>
      <c r="X54" s="36" t="inlineStr">
        <is>
          <t>[large hollow pentagon]</t>
        </is>
      </c>
      <c r="Y54" s="36" t="inlineStr">
        <is>
          <t>[small hollow pentagon]</t>
        </is>
      </c>
      <c r="Z54" s="36" t="inlineStr">
        <is>
          <t>[small filled pentagon]</t>
        </is>
      </c>
      <c r="AA54" s="51" t="inlineStr">
        <is>
          <t>B</t>
        </is>
      </c>
      <c r="AB54" s="38" t="n">
        <v>2</v>
      </c>
      <c r="AC54" s="32" t="inlineStr">
        <is>
          <t>A=size wrong; C=shading wrong</t>
        </is>
      </c>
      <c r="AD54" s="32" t="inlineStr">
        <is>
          <t>Gf_B1_060</t>
        </is>
      </c>
      <c r="AE54" s="32" t="n">
        <v>0.2</v>
      </c>
      <c r="AF54" s="32" t="inlineStr">
        <is>
          <t>induction</t>
        </is>
      </c>
      <c r="AG54" s="32" t="inlineStr">
        <is>
          <t>no_dif</t>
        </is>
      </c>
      <c r="AH54" s="32" t="inlineStr">
        <is>
          <t>untested</t>
        </is>
      </c>
      <c r="AI54" s="32" t="n">
        <v>0</v>
      </c>
      <c r="AJ54" s="39" t="inlineStr">
        <is>
          <t>VALIDITY_FIX — original had 3 simultaneous rule dimensions (size+shading+count ×3), exceeding Band 1 cap of 2. Count dimension dropped. Redesigned as clean 2-dim analogy: size (large→small) + shading (filled→hollow). Max 1 shape per option. Fully renderable. Correct answer moved to B (redistribution).</t>
        </is>
      </c>
      <c r="AK54" s="40" t="inlineStr">
        <is>
          <t>Rule: large→small AND filled→hollow. 2 dims. Uses hexagon/pentagon (less common) to preserve b≈1.45. Hard enemy with 054 (same 2-dim size+shading rule).</t>
        </is>
      </c>
    </row>
    <row r="55" ht="52" customHeight="1">
      <c r="A55" s="31" t="inlineStr">
        <is>
          <t>Gf_B1_060</t>
        </is>
      </c>
      <c r="B55" s="32" t="inlineStr">
        <is>
          <t>Gf</t>
        </is>
      </c>
      <c r="C55" s="32" t="inlineStr">
        <is>
          <t>8-10</t>
        </is>
      </c>
      <c r="D55" s="32" t="inlineStr">
        <is>
          <t>concrete_operations</t>
        </is>
      </c>
      <c r="E55" s="32" t="inlineStr">
        <is>
          <t>Induction</t>
        </is>
      </c>
      <c r="F55" s="32" t="inlineStr">
        <is>
          <t>I</t>
        </is>
      </c>
      <c r="G55" s="32" t="inlineStr">
        <is>
          <t>matrix_2x2</t>
        </is>
      </c>
      <c r="H55" s="32" t="inlineStr">
        <is>
          <t>shading_pattern</t>
        </is>
      </c>
      <c r="I55" s="32" t="n">
        <v>1</v>
      </c>
      <c r="J55" s="32" t="inlineStr">
        <is>
          <t>figural</t>
        </is>
      </c>
      <c r="K55" s="69" t="inlineStr">
        <is>
          <t>hard</t>
        </is>
      </c>
      <c r="L55" s="34" t="n">
        <v>1.5</v>
      </c>
      <c r="M55" s="34" t="n">
        <v>1.2</v>
      </c>
      <c r="N55" s="34" t="n">
        <v>0.33</v>
      </c>
      <c r="O55" s="35" t="inlineStr">
        <is>
          <t>FALSE</t>
        </is>
      </c>
      <c r="P55" s="32" t="n">
        <v>45</v>
      </c>
      <c r="Q55" s="32" t="inlineStr">
        <is>
          <t>image</t>
        </is>
      </c>
      <c r="R55" s="32" t="inlineStr">
        <is>
          <t>3-choice</t>
        </is>
      </c>
      <c r="S55" s="35" t="inlineStr">
        <is>
          <t>FALSE</t>
        </is>
      </c>
      <c r="T55" s="35" t="n"/>
      <c r="U55" s="36" t="inlineStr">
        <is>
          <t>Which shape completes the grid?</t>
        </is>
      </c>
      <c r="V55" s="36" t="inlineStr">
        <is>
          <t>Row 1: [filled circle] | [hollow circle]</t>
        </is>
      </c>
      <c r="W55" s="36" t="inlineStr">
        <is>
          <t>Row 2: [filled pentagon] | [?]</t>
        </is>
      </c>
      <c r="X55" s="36" t="inlineStr">
        <is>
          <t>[filled pentagon]</t>
        </is>
      </c>
      <c r="Y55" s="36" t="inlineStr">
        <is>
          <t>[hollow circle]</t>
        </is>
      </c>
      <c r="Z55" s="36" t="inlineStr">
        <is>
          <t>[hollow pentagon]</t>
        </is>
      </c>
      <c r="AA55" s="37" t="inlineStr">
        <is>
          <t>C</t>
        </is>
      </c>
      <c r="AB55" s="38" t="n">
        <v>3</v>
      </c>
      <c r="AC55" s="32" t="inlineStr">
        <is>
          <t>A=shading unchanged; B=wrong shape (carries over from row 1)</t>
        </is>
      </c>
      <c r="AD55" s="32" t="inlineStr">
        <is>
          <t>Gf_B1_059</t>
        </is>
      </c>
      <c r="AE55" s="32" t="n">
        <v>0.2</v>
      </c>
      <c r="AF55" s="32" t="inlineStr">
        <is>
          <t>induction</t>
        </is>
      </c>
      <c r="AG55" s="32" t="inlineStr">
        <is>
          <t>no_dif</t>
        </is>
      </c>
      <c r="AH55" s="32" t="inlineStr">
        <is>
          <t>untested</t>
        </is>
      </c>
      <c r="AI55" s="32" t="n">
        <v>0</v>
      </c>
      <c r="AJ55" s="39" t="inlineStr">
        <is>
          <t>VALIDITY_FIX — original matrix had arbitrary shape-change across rows (circle→triangle, hexagon→pentagon) with no logical rule. Fixed: shape is constant within each row (row1=circles, row2=pentagons), rule is shading only (filled→hollow across columns). Rule is clear and singular. Difficulty b≈1.5 preserved by using pentagon (less common) and requiring shape-constancy abstraction. Correct answer at C (redistribution).</t>
        </is>
      </c>
      <c r="AK55" s="40" t="inlineStr">
        <is>
          <t>Rule: col1=filled, col2=hollow. Shape constant per row. Pentagon (less common shape) increases difficulty. A=shading-unchanged error; B=wrong-shape error.</t>
        </is>
      </c>
    </row>
    <row r="56" ht="18" customHeight="1">
      <c r="A56" s="3" t="inlineStr">
        <is>
          <t>▸  OPERATIONAL ITEMS — QUANTITATIVE REASONING (RQ)  |  Novel rule discovery without prior instruction  |  Scored</t>
        </is>
      </c>
    </row>
    <row r="57" ht="52" customHeight="1">
      <c r="A57" s="4" t="inlineStr">
        <is>
          <t>Gf_B1_029</t>
        </is>
      </c>
      <c r="B57" s="5" t="inlineStr">
        <is>
          <t>Gf</t>
        </is>
      </c>
      <c r="C57" s="5" t="inlineStr">
        <is>
          <t>8-10</t>
        </is>
      </c>
      <c r="D57" s="5" t="inlineStr">
        <is>
          <t>concrete_operations</t>
        </is>
      </c>
      <c r="E57" s="5" t="inlineStr">
        <is>
          <t>Quantitative Reasoning</t>
        </is>
      </c>
      <c r="F57" s="5" t="inlineStr">
        <is>
          <t>RQ</t>
        </is>
      </c>
      <c r="G57" s="5" t="inlineStr">
        <is>
          <t>series_linear</t>
        </is>
      </c>
      <c r="H57" s="5" t="inlineStr">
        <is>
          <t>number_of_elements</t>
        </is>
      </c>
      <c r="I57" s="5" t="n">
        <v>1</v>
      </c>
      <c r="J57" s="5" t="inlineStr">
        <is>
          <t>figural</t>
        </is>
      </c>
      <c r="K57" s="6" t="inlineStr">
        <is>
          <t>easy</t>
        </is>
      </c>
      <c r="L57" s="7" t="n">
        <v>-1.2</v>
      </c>
      <c r="M57" s="7" t="n">
        <v>1</v>
      </c>
      <c r="N57" s="7" t="n">
        <v>0.33</v>
      </c>
      <c r="O57" s="8" t="inlineStr">
        <is>
          <t>FALSE</t>
        </is>
      </c>
      <c r="P57" s="5" t="n">
        <v>45</v>
      </c>
      <c r="Q57" s="5" t="inlineStr">
        <is>
          <t>image</t>
        </is>
      </c>
      <c r="R57" s="5" t="inlineStr">
        <is>
          <t>3-choice</t>
        </is>
      </c>
      <c r="S57" s="8" t="inlineStr">
        <is>
          <t>FALSE</t>
        </is>
      </c>
      <c r="T57" s="8" t="n"/>
      <c r="U57" s="10" t="inlineStr">
        <is>
          <t>How many dots come next?</t>
        </is>
      </c>
      <c r="V57" s="10" t="inlineStr">
        <is>
          <t>[2 dots] → [4 dots] → [6 dots] → [8 dots] → ?</t>
        </is>
      </c>
      <c r="W57" s="10" t="n"/>
      <c r="X57" s="10" t="inlineStr">
        <is>
          <t>[10 dots]</t>
        </is>
      </c>
      <c r="Y57" s="10" t="inlineStr">
        <is>
          <t>[9 dots]</t>
        </is>
      </c>
      <c r="Z57" s="10" t="inlineStr">
        <is>
          <t>[8 dots]</t>
        </is>
      </c>
      <c r="AA57" s="11" t="inlineStr">
        <is>
          <t>A</t>
        </is>
      </c>
      <c r="AB57" s="12" t="n">
        <v>1</v>
      </c>
      <c r="AC57" s="5" t="inlineStr">
        <is>
          <t>B=off-by-one; C=wrong-step (subtracts)</t>
        </is>
      </c>
      <c r="AD57" s="5" t="inlineStr">
        <is>
          <t>Gf_B1_030</t>
        </is>
      </c>
      <c r="AE57" s="5" t="n">
        <v>0.2</v>
      </c>
      <c r="AF57" s="5" t="inlineStr">
        <is>
          <t>quantitative_reasoning</t>
        </is>
      </c>
      <c r="AG57" s="5" t="inlineStr">
        <is>
          <t>no_dif</t>
        </is>
      </c>
      <c r="AH57" s="5" t="inlineStr">
        <is>
          <t>untested</t>
        </is>
      </c>
      <c r="AI57" s="5" t="n">
        <v>0</v>
      </c>
      <c r="AJ57" s="13" t="inlineStr">
        <is>
          <t>UNCHANGED — max count=10 in stimulus/options; renderable when displayed as 2×5 dot grid. RENDER NOTE: specify 2×5 grid layout in SVG spec.</t>
        </is>
      </c>
      <c r="AK57" s="14" t="inlineStr">
        <is>
          <t>RQ: Rule +2 each step. RENDER NOTE: 10 dots = 2×5 grid. Soft enemy with 030.</t>
        </is>
      </c>
    </row>
    <row r="58" ht="52" customHeight="1">
      <c r="A58" s="15" t="inlineStr">
        <is>
          <t>Gf_B1_030</t>
        </is>
      </c>
      <c r="B58" s="16" t="inlineStr">
        <is>
          <t>Gf</t>
        </is>
      </c>
      <c r="C58" s="16" t="inlineStr">
        <is>
          <t>8-10</t>
        </is>
      </c>
      <c r="D58" s="16" t="inlineStr">
        <is>
          <t>concrete_operations</t>
        </is>
      </c>
      <c r="E58" s="16" t="inlineStr">
        <is>
          <t>Quantitative Reasoning</t>
        </is>
      </c>
      <c r="F58" s="16" t="inlineStr">
        <is>
          <t>RQ</t>
        </is>
      </c>
      <c r="G58" s="16" t="inlineStr">
        <is>
          <t>series_linear</t>
        </is>
      </c>
      <c r="H58" s="16" t="inlineStr">
        <is>
          <t>number_of_elements</t>
        </is>
      </c>
      <c r="I58" s="16" t="n">
        <v>1</v>
      </c>
      <c r="J58" s="16" t="inlineStr">
        <is>
          <t>figural</t>
        </is>
      </c>
      <c r="K58" s="17" t="inlineStr">
        <is>
          <t>easy</t>
        </is>
      </c>
      <c r="L58" s="18" t="n">
        <v>-1.1</v>
      </c>
      <c r="M58" s="18" t="n">
        <v>1</v>
      </c>
      <c r="N58" s="18" t="n">
        <v>0.33</v>
      </c>
      <c r="O58" s="19" t="inlineStr">
        <is>
          <t>FALSE</t>
        </is>
      </c>
      <c r="P58" s="16" t="n">
        <v>45</v>
      </c>
      <c r="Q58" s="16" t="inlineStr">
        <is>
          <t>image</t>
        </is>
      </c>
      <c r="R58" s="16" t="inlineStr">
        <is>
          <t>3-choice</t>
        </is>
      </c>
      <c r="S58" s="19" t="inlineStr">
        <is>
          <t>FALSE</t>
        </is>
      </c>
      <c r="T58" s="19" t="n"/>
      <c r="U58" s="21" t="inlineStr">
        <is>
          <t>How many shapes come next?</t>
        </is>
      </c>
      <c r="V58" s="21" t="inlineStr">
        <is>
          <t>[1 star] → [3 stars] → [5 stars] → [7 stars] → ?</t>
        </is>
      </c>
      <c r="W58" s="21" t="n"/>
      <c r="X58" s="21" t="inlineStr">
        <is>
          <t>[9 stars]</t>
        </is>
      </c>
      <c r="Y58" s="21" t="inlineStr">
        <is>
          <t>[8 stars]</t>
        </is>
      </c>
      <c r="Z58" s="21" t="inlineStr">
        <is>
          <t>[10 stars]</t>
        </is>
      </c>
      <c r="AA58" s="22" t="inlineStr">
        <is>
          <t>A</t>
        </is>
      </c>
      <c r="AB58" s="23" t="n">
        <v>1</v>
      </c>
      <c r="AC58" s="16" t="inlineStr">
        <is>
          <t>B=off-by-one; C=skip</t>
        </is>
      </c>
      <c r="AD58" s="16" t="inlineStr">
        <is>
          <t>Gf_B1_029</t>
        </is>
      </c>
      <c r="AE58" s="16" t="n">
        <v>0.2</v>
      </c>
      <c r="AF58" s="16" t="inlineStr">
        <is>
          <t>quantitative_reasoning</t>
        </is>
      </c>
      <c r="AG58" s="16" t="inlineStr">
        <is>
          <t>no_dif</t>
        </is>
      </c>
      <c r="AH58" s="16" t="inlineStr">
        <is>
          <t>untested</t>
        </is>
      </c>
      <c r="AI58" s="16" t="n">
        <v>0</v>
      </c>
      <c r="AJ58" s="24" t="inlineStr">
        <is>
          <t>UNCHANGED — max count=9 in 3×3 grid</t>
        </is>
      </c>
      <c r="AK58" s="25" t="inlineStr">
        <is>
          <t>RQ: Rule: odd numbers / +2. Max=9 in 3×3 grid. RENDER NOTE: specify 3×3 grid layout.</t>
        </is>
      </c>
    </row>
    <row r="59" ht="52" customHeight="1">
      <c r="A59" s="4" t="inlineStr">
        <is>
          <t>Gf_B1_031</t>
        </is>
      </c>
      <c r="B59" s="5" t="inlineStr">
        <is>
          <t>Gf</t>
        </is>
      </c>
      <c r="C59" s="5" t="inlineStr">
        <is>
          <t>8-10</t>
        </is>
      </c>
      <c r="D59" s="5" t="inlineStr">
        <is>
          <t>concrete_operations</t>
        </is>
      </c>
      <c r="E59" s="5" t="inlineStr">
        <is>
          <t>Quantitative Reasoning</t>
        </is>
      </c>
      <c r="F59" s="5" t="inlineStr">
        <is>
          <t>RQ</t>
        </is>
      </c>
      <c r="G59" s="5" t="inlineStr">
        <is>
          <t>matrix_2x2</t>
        </is>
      </c>
      <c r="H59" s="5" t="inlineStr">
        <is>
          <t>number_of_elements</t>
        </is>
      </c>
      <c r="I59" s="5" t="n">
        <v>1</v>
      </c>
      <c r="J59" s="5" t="inlineStr">
        <is>
          <t>figural</t>
        </is>
      </c>
      <c r="K59" s="55" t="inlineStr">
        <is>
          <t>medium</t>
        </is>
      </c>
      <c r="L59" s="7" t="n">
        <v>-0.7</v>
      </c>
      <c r="M59" s="7" t="n">
        <v>1.1</v>
      </c>
      <c r="N59" s="7" t="n">
        <v>0.33</v>
      </c>
      <c r="O59" s="8" t="inlineStr">
        <is>
          <t>FALSE</t>
        </is>
      </c>
      <c r="P59" s="5" t="n">
        <v>45</v>
      </c>
      <c r="Q59" s="5" t="inlineStr">
        <is>
          <t>image</t>
        </is>
      </c>
      <c r="R59" s="5" t="inlineStr">
        <is>
          <t>3-choice</t>
        </is>
      </c>
      <c r="S59" s="8" t="inlineStr">
        <is>
          <t>FALSE</t>
        </is>
      </c>
      <c r="T59" s="8" t="n"/>
      <c r="U59" s="10" t="inlineStr">
        <is>
          <t>The shapes follow a number rule. What fills the empty box?</t>
        </is>
      </c>
      <c r="V59" s="10" t="inlineStr">
        <is>
          <t>Row 1: [3 dots] | [6 dots]</t>
        </is>
      </c>
      <c r="W59" s="10" t="inlineStr">
        <is>
          <t>Row 2: [4 dots] | [?]</t>
        </is>
      </c>
      <c r="X59" s="10" t="inlineStr">
        <is>
          <t>[8 dots]</t>
        </is>
      </c>
      <c r="Y59" s="10" t="inlineStr">
        <is>
          <t>[7 dots]</t>
        </is>
      </c>
      <c r="Z59" s="10" t="inlineStr">
        <is>
          <t>[5 dots]</t>
        </is>
      </c>
      <c r="AA59" s="11" t="inlineStr">
        <is>
          <t>A</t>
        </is>
      </c>
      <c r="AB59" s="12" t="n">
        <v>1</v>
      </c>
      <c r="AC59" s="5" t="inlineStr">
        <is>
          <t>B=off-by-one; C=wrong operation</t>
        </is>
      </c>
      <c r="AD59" s="5" t="inlineStr">
        <is>
          <t>Gf_B1_032</t>
        </is>
      </c>
      <c r="AE59" s="5" t="n">
        <v>0.2</v>
      </c>
      <c r="AF59" s="5" t="inlineStr">
        <is>
          <t>quantitative_reasoning</t>
        </is>
      </c>
      <c r="AG59" s="5" t="inlineStr">
        <is>
          <t>no_dif</t>
        </is>
      </c>
      <c r="AH59" s="5" t="inlineStr">
        <is>
          <t>untested</t>
        </is>
      </c>
      <c r="AI59" s="5" t="n">
        <v>0</v>
      </c>
      <c r="AJ59" s="13" t="inlineStr">
        <is>
          <t>UNCHANGED — max count=8 in 2×4 grid</t>
        </is>
      </c>
      <c r="AK59" s="14" t="inlineStr">
        <is>
          <t>RQ: Rule: ×2 across columns. Max=8. RENDER NOTE: 8 dots = 2×4 grid.</t>
        </is>
      </c>
    </row>
    <row r="60" ht="52" customHeight="1">
      <c r="A60" s="15" t="inlineStr">
        <is>
          <t>Gf_B1_032</t>
        </is>
      </c>
      <c r="B60" s="16" t="inlineStr">
        <is>
          <t>Gf</t>
        </is>
      </c>
      <c r="C60" s="16" t="inlineStr">
        <is>
          <t>8-10</t>
        </is>
      </c>
      <c r="D60" s="16" t="inlineStr">
        <is>
          <t>concrete_operations</t>
        </is>
      </c>
      <c r="E60" s="16" t="inlineStr">
        <is>
          <t>Quantitative Reasoning</t>
        </is>
      </c>
      <c r="F60" s="16" t="inlineStr">
        <is>
          <t>RQ</t>
        </is>
      </c>
      <c r="G60" s="16" t="inlineStr">
        <is>
          <t>analogy_figural</t>
        </is>
      </c>
      <c r="H60" s="16" t="inlineStr">
        <is>
          <t>number_of_elements</t>
        </is>
      </c>
      <c r="I60" s="16" t="n">
        <v>1</v>
      </c>
      <c r="J60" s="16" t="inlineStr">
        <is>
          <t>figural</t>
        </is>
      </c>
      <c r="K60" s="54" t="inlineStr">
        <is>
          <t>medium</t>
        </is>
      </c>
      <c r="L60" s="18" t="n">
        <v>-0.5</v>
      </c>
      <c r="M60" s="18" t="n">
        <v>1.1</v>
      </c>
      <c r="N60" s="18" t="n">
        <v>0.33</v>
      </c>
      <c r="O60" s="19" t="inlineStr">
        <is>
          <t>FALSE</t>
        </is>
      </c>
      <c r="P60" s="16" t="n">
        <v>45</v>
      </c>
      <c r="Q60" s="16" t="inlineStr">
        <is>
          <t>image</t>
        </is>
      </c>
      <c r="R60" s="16" t="inlineStr">
        <is>
          <t>3-choice</t>
        </is>
      </c>
      <c r="S60" s="19" t="inlineStr">
        <is>
          <t>FALSE</t>
        </is>
      </c>
      <c r="T60" s="19" t="n"/>
      <c r="U60" s="21" t="inlineStr">
        <is>
          <t>Six dots is to three dots as eight dots is to…?</t>
        </is>
      </c>
      <c r="V60" s="21" t="inlineStr">
        <is>
          <t>[6 dots] : [3 dots] :: [8 dots] : [?]</t>
        </is>
      </c>
      <c r="W60" s="21" t="n"/>
      <c r="X60" s="21" t="inlineStr">
        <is>
          <t>[4 dots]</t>
        </is>
      </c>
      <c r="Y60" s="21" t="inlineStr">
        <is>
          <t>[5 dots]</t>
        </is>
      </c>
      <c r="Z60" s="21" t="inlineStr">
        <is>
          <t>[6 dots]</t>
        </is>
      </c>
      <c r="AA60" s="22" t="inlineStr">
        <is>
          <t>A</t>
        </is>
      </c>
      <c r="AB60" s="23" t="n">
        <v>1</v>
      </c>
      <c r="AC60" s="16" t="inlineStr">
        <is>
          <t>B=subtract 3; C=unchanged</t>
        </is>
      </c>
      <c r="AD60" s="16" t="inlineStr">
        <is>
          <t>Gf_B1_031;Gf_B1_038</t>
        </is>
      </c>
      <c r="AE60" s="16" t="n">
        <v>0.2</v>
      </c>
      <c r="AF60" s="16" t="inlineStr">
        <is>
          <t>quantitative_reasoning</t>
        </is>
      </c>
      <c r="AG60" s="16" t="inlineStr">
        <is>
          <t>no_dif</t>
        </is>
      </c>
      <c r="AH60" s="16" t="inlineStr">
        <is>
          <t>untested</t>
        </is>
      </c>
      <c r="AI60" s="16" t="n">
        <v>0</v>
      </c>
      <c r="AJ60" s="24" t="inlineStr">
        <is>
          <t>UNCHANGED — max count=8, clean</t>
        </is>
      </c>
      <c r="AK60" s="25" t="inlineStr">
        <is>
          <t>RQ: Rule: ÷2. Max=8. Hard enemy with 031.</t>
        </is>
      </c>
    </row>
    <row r="61" ht="52" customHeight="1">
      <c r="A61" s="57" t="inlineStr">
        <is>
          <t>Gf_B1_037</t>
        </is>
      </c>
      <c r="B61" s="58" t="inlineStr">
        <is>
          <t>Gf</t>
        </is>
      </c>
      <c r="C61" s="58" t="inlineStr">
        <is>
          <t>8-10</t>
        </is>
      </c>
      <c r="D61" s="58" t="inlineStr">
        <is>
          <t>concrete_operations</t>
        </is>
      </c>
      <c r="E61" s="58" t="inlineStr">
        <is>
          <t>Quantitative Reasoning</t>
        </is>
      </c>
      <c r="F61" s="58" t="inlineStr">
        <is>
          <t>RQ</t>
        </is>
      </c>
      <c r="G61" s="58" t="inlineStr">
        <is>
          <t>series_linear</t>
        </is>
      </c>
      <c r="H61" s="58" t="inlineStr">
        <is>
          <t>number_of_elements</t>
        </is>
      </c>
      <c r="I61" s="58" t="n">
        <v>1</v>
      </c>
      <c r="J61" s="58" t="inlineStr">
        <is>
          <t>figural</t>
        </is>
      </c>
      <c r="K61" s="59" t="inlineStr">
        <is>
          <t>medium</t>
        </is>
      </c>
      <c r="L61" s="60" t="n">
        <v>-0.2</v>
      </c>
      <c r="M61" s="60" t="n">
        <v>1</v>
      </c>
      <c r="N61" s="60" t="n">
        <v>0.33</v>
      </c>
      <c r="O61" s="61" t="inlineStr">
        <is>
          <t>FALSE</t>
        </is>
      </c>
      <c r="P61" s="58" t="n">
        <v>45</v>
      </c>
      <c r="Q61" s="58" t="inlineStr">
        <is>
          <t>image</t>
        </is>
      </c>
      <c r="R61" s="58" t="inlineStr">
        <is>
          <t>3-choice</t>
        </is>
      </c>
      <c r="S61" s="61" t="inlineStr">
        <is>
          <t>FALSE</t>
        </is>
      </c>
      <c r="T61" s="61" t="n"/>
      <c r="U61" s="62" t="inlineStr">
        <is>
          <t>How many shapes come next?</t>
        </is>
      </c>
      <c r="V61" s="62" t="inlineStr">
        <is>
          <t>[1 circle] → [2 circles] → [3 circles] → [4 circles] → ?</t>
        </is>
      </c>
      <c r="W61" s="62" t="n"/>
      <c r="X61" s="62" t="inlineStr">
        <is>
          <t>[6 circles]</t>
        </is>
      </c>
      <c r="Y61" s="62" t="inlineStr">
        <is>
          <t>[3 circles]</t>
        </is>
      </c>
      <c r="Z61" s="62" t="inlineStr">
        <is>
          <t>[5 circles]</t>
        </is>
      </c>
      <c r="AA61" s="72" t="inlineStr">
        <is>
          <t>C</t>
        </is>
      </c>
      <c r="AB61" s="64" t="n">
        <v>3</v>
      </c>
      <c r="AC61" s="58" t="inlineStr">
        <is>
          <t>A=skip-one; B=repeats middle term</t>
        </is>
      </c>
      <c r="AD61" s="58" t="inlineStr">
        <is>
          <t>Gf_B1_008;Gf_B1_038</t>
        </is>
      </c>
      <c r="AE61" s="58" t="n">
        <v>0.2</v>
      </c>
      <c r="AF61" s="58" t="inlineStr">
        <is>
          <t>quantitative_reasoning</t>
        </is>
      </c>
      <c r="AG61" s="58" t="inlineStr">
        <is>
          <t>no_dif</t>
        </is>
      </c>
      <c r="AH61" s="58" t="inlineStr">
        <is>
          <t>untested</t>
        </is>
      </c>
      <c r="AI61" s="58" t="n">
        <v>0</v>
      </c>
      <c r="AJ61" s="65" t="inlineStr">
        <is>
          <t>RENDER_FIX + VALIDITY_FIX — original perfect-squares series (1,4,9,16,25) had unrenderable counts (16, 25) AND used a known curriculum pattern (Gq-KM contamination, not novel Gf-RQ). Replaced with simple +1 series. Max count=5, renderable. Soft enemy with 008 (+1 stars). Correct answer placed at C (redistribution).</t>
        </is>
      </c>
      <c r="AK61" s="66" t="inlineStr">
        <is>
          <t>RQ: Rule: +1 each step. Max count=5. Soft enemy with 008 (same +1 rule, different shape). ENEMY: Gf_B1_008.</t>
        </is>
      </c>
    </row>
    <row r="62" ht="52" customHeight="1">
      <c r="A62" s="57" t="inlineStr">
        <is>
          <t>Gf_B1_038</t>
        </is>
      </c>
      <c r="B62" s="58" t="inlineStr">
        <is>
          <t>Gf</t>
        </is>
      </c>
      <c r="C62" s="58" t="inlineStr">
        <is>
          <t>8-10</t>
        </is>
      </c>
      <c r="D62" s="58" t="inlineStr">
        <is>
          <t>concrete_operations</t>
        </is>
      </c>
      <c r="E62" s="58" t="inlineStr">
        <is>
          <t>Quantitative Reasoning</t>
        </is>
      </c>
      <c r="F62" s="58" t="inlineStr">
        <is>
          <t>RQ</t>
        </is>
      </c>
      <c r="G62" s="58" t="inlineStr">
        <is>
          <t>analogy_figural</t>
        </is>
      </c>
      <c r="H62" s="58" t="inlineStr">
        <is>
          <t>number_of_elements</t>
        </is>
      </c>
      <c r="I62" s="58" t="n">
        <v>1</v>
      </c>
      <c r="J62" s="58" t="inlineStr">
        <is>
          <t>figural</t>
        </is>
      </c>
      <c r="K62" s="59" t="inlineStr">
        <is>
          <t>medium</t>
        </is>
      </c>
      <c r="L62" s="60" t="n">
        <v>0.25</v>
      </c>
      <c r="M62" s="60" t="n">
        <v>1.1</v>
      </c>
      <c r="N62" s="60" t="n">
        <v>0.33</v>
      </c>
      <c r="O62" s="61" t="inlineStr">
        <is>
          <t>FALSE</t>
        </is>
      </c>
      <c r="P62" s="58" t="n">
        <v>45</v>
      </c>
      <c r="Q62" s="58" t="inlineStr">
        <is>
          <t>image</t>
        </is>
      </c>
      <c r="R62" s="58" t="inlineStr">
        <is>
          <t>3-choice</t>
        </is>
      </c>
      <c r="S62" s="61" t="inlineStr">
        <is>
          <t>FALSE</t>
        </is>
      </c>
      <c r="T62" s="61" t="n"/>
      <c r="U62" s="62" t="inlineStr">
        <is>
          <t>Six dots is to three dots as eight dots is to…?</t>
        </is>
      </c>
      <c r="V62" s="62" t="inlineStr">
        <is>
          <t>[6 dots] : [3 dots] :: [8 dots] : [?]</t>
        </is>
      </c>
      <c r="W62" s="62" t="n"/>
      <c r="X62" s="62" t="inlineStr">
        <is>
          <t>[5 dots]</t>
        </is>
      </c>
      <c r="Y62" s="62" t="inlineStr">
        <is>
          <t>[4 dots]</t>
        </is>
      </c>
      <c r="Z62" s="62" t="inlineStr">
        <is>
          <t>[6 dots]</t>
        </is>
      </c>
      <c r="AA62" s="73" t="inlineStr">
        <is>
          <t>B</t>
        </is>
      </c>
      <c r="AB62" s="64" t="n">
        <v>2</v>
      </c>
      <c r="AC62" s="58" t="inlineStr">
        <is>
          <t>A=subtract 1; C=no change</t>
        </is>
      </c>
      <c r="AD62" s="58" t="inlineStr">
        <is>
          <t>Gf_B1_037;Gf_B1_032</t>
        </is>
      </c>
      <c r="AE62" s="58" t="n">
        <v>0.2</v>
      </c>
      <c r="AF62" s="58" t="inlineStr">
        <is>
          <t>quantitative_reasoning</t>
        </is>
      </c>
      <c r="AG62" s="58" t="inlineStr">
        <is>
          <t>no_dif</t>
        </is>
      </c>
      <c r="AH62" s="58" t="inlineStr">
        <is>
          <t>untested</t>
        </is>
      </c>
      <c r="AI62" s="58" t="n">
        <v>0</v>
      </c>
      <c r="AJ62" s="65" t="inlineStr">
        <is>
          <t>RENDER_FIX — original stimulus had 10 and 12 dots (unrenderable; 10 is borderline and 12 exceeds the 8-dot render limit). Lowered all counts: 6:3::8:[4]. Max count=8 (2×4 grid). ÷2 rule preserved. Correct answer moved to B (redistribution). NOTE: 032 has same ÷2 rule — soft enemy.</t>
        </is>
      </c>
      <c r="AK62" s="66" t="inlineStr">
        <is>
          <t>RQ: Rule: ÷2. Max=8 (2×4 grid). NOTE: near-duplicate of 032 (÷2, max=8). Soft enemy with 032.</t>
        </is>
      </c>
    </row>
    <row r="63" ht="52" customHeight="1">
      <c r="A63" s="4" t="inlineStr">
        <is>
          <t>Gf_B1_043</t>
        </is>
      </c>
      <c r="B63" s="5" t="inlineStr">
        <is>
          <t>Gf</t>
        </is>
      </c>
      <c r="C63" s="5" t="inlineStr">
        <is>
          <t>8-10</t>
        </is>
      </c>
      <c r="D63" s="5" t="inlineStr">
        <is>
          <t>concrete_operations</t>
        </is>
      </c>
      <c r="E63" s="5" t="inlineStr">
        <is>
          <t>Quantitative Reasoning</t>
        </is>
      </c>
      <c r="F63" s="5" t="inlineStr">
        <is>
          <t>RQ</t>
        </is>
      </c>
      <c r="G63" s="5" t="inlineStr">
        <is>
          <t>matrix_2x2</t>
        </is>
      </c>
      <c r="H63" s="5" t="inlineStr">
        <is>
          <t>number_of_elements</t>
        </is>
      </c>
      <c r="I63" s="5" t="n">
        <v>1</v>
      </c>
      <c r="J63" s="5" t="inlineStr">
        <is>
          <t>figural</t>
        </is>
      </c>
      <c r="K63" s="67" t="inlineStr">
        <is>
          <t>hard</t>
        </is>
      </c>
      <c r="L63" s="7" t="n">
        <v>0.75</v>
      </c>
      <c r="M63" s="7" t="n">
        <v>1.2</v>
      </c>
      <c r="N63" s="7" t="n">
        <v>0.33</v>
      </c>
      <c r="O63" s="8" t="inlineStr">
        <is>
          <t>FALSE</t>
        </is>
      </c>
      <c r="P63" s="5" t="n">
        <v>45</v>
      </c>
      <c r="Q63" s="5" t="inlineStr">
        <is>
          <t>image</t>
        </is>
      </c>
      <c r="R63" s="5" t="inlineStr">
        <is>
          <t>3-choice</t>
        </is>
      </c>
      <c r="S63" s="8" t="inlineStr">
        <is>
          <t>FALSE</t>
        </is>
      </c>
      <c r="T63" s="8" t="n"/>
      <c r="U63" s="10" t="inlineStr">
        <is>
          <t>The shapes follow a number rule. What fills the empty box?</t>
        </is>
      </c>
      <c r="V63" s="10" t="inlineStr">
        <is>
          <t>Row 1: [2 dots] | [6 dots]</t>
        </is>
      </c>
      <c r="W63" s="10" t="inlineStr">
        <is>
          <t>Row 2: [3 dots] | [?]</t>
        </is>
      </c>
      <c r="X63" s="10" t="inlineStr">
        <is>
          <t>[9 dots]</t>
        </is>
      </c>
      <c r="Y63" s="10" t="inlineStr">
        <is>
          <t>[7 dots]</t>
        </is>
      </c>
      <c r="Z63" s="10" t="inlineStr">
        <is>
          <t>[6 dots]</t>
        </is>
      </c>
      <c r="AA63" s="11" t="inlineStr">
        <is>
          <t>A</t>
        </is>
      </c>
      <c r="AB63" s="12" t="n">
        <v>1</v>
      </c>
      <c r="AC63" s="5" t="inlineStr">
        <is>
          <t>B=off-by-one; C=repeats top-right cell</t>
        </is>
      </c>
      <c r="AD63" s="5" t="inlineStr">
        <is>
          <t>Gf_B1_042;Gf_B1_053;Gf_B1_044</t>
        </is>
      </c>
      <c r="AE63" s="5" t="n">
        <v>0.2</v>
      </c>
      <c r="AF63" s="5" t="inlineStr">
        <is>
          <t>quantitative_reasoning</t>
        </is>
      </c>
      <c r="AG63" s="5" t="inlineStr">
        <is>
          <t>no_dif</t>
        </is>
      </c>
      <c r="AH63" s="5" t="inlineStr">
        <is>
          <t>untested</t>
        </is>
      </c>
      <c r="AI63" s="5" t="n">
        <v>0</v>
      </c>
      <c r="AJ63" s="13" t="inlineStr">
        <is>
          <t>UNCHANGED — max count=9 in 3×3 grid. ENEMY_ADDED: soft enemy with 053 and 044 (same ×3/proportional rule).</t>
        </is>
      </c>
      <c r="AK63" s="14" t="inlineStr">
        <is>
          <t>RQ: Rule: ×3 across columns. Max=9 (3×3 grid). RENDER NOTE: specify 3×3 dot grid in SVG. Soft enemy with 053 (same rule after fix).</t>
        </is>
      </c>
    </row>
    <row r="64" ht="52" customHeight="1">
      <c r="A64" s="57" t="inlineStr">
        <is>
          <t>Gf_B1_044</t>
        </is>
      </c>
      <c r="B64" s="58" t="inlineStr">
        <is>
          <t>Gf</t>
        </is>
      </c>
      <c r="C64" s="58" t="inlineStr">
        <is>
          <t>8-10</t>
        </is>
      </c>
      <c r="D64" s="58" t="inlineStr">
        <is>
          <t>concrete_operations</t>
        </is>
      </c>
      <c r="E64" s="58" t="inlineStr">
        <is>
          <t>Quantitative Reasoning</t>
        </is>
      </c>
      <c r="F64" s="58" t="inlineStr">
        <is>
          <t>RQ</t>
        </is>
      </c>
      <c r="G64" s="58" t="inlineStr">
        <is>
          <t>analogy_figural</t>
        </is>
      </c>
      <c r="H64" s="58" t="inlineStr">
        <is>
          <t>number_of_elements</t>
        </is>
      </c>
      <c r="I64" s="58" t="n">
        <v>1</v>
      </c>
      <c r="J64" s="58" t="inlineStr">
        <is>
          <t>figural</t>
        </is>
      </c>
      <c r="K64" s="71" t="inlineStr">
        <is>
          <t>hard</t>
        </is>
      </c>
      <c r="L64" s="60" t="n">
        <v>0.8</v>
      </c>
      <c r="M64" s="60" t="n">
        <v>1.2</v>
      </c>
      <c r="N64" s="60" t="n">
        <v>0.33</v>
      </c>
      <c r="O64" s="61" t="inlineStr">
        <is>
          <t>FALSE</t>
        </is>
      </c>
      <c r="P64" s="58" t="n">
        <v>45</v>
      </c>
      <c r="Q64" s="58" t="inlineStr">
        <is>
          <t>image</t>
        </is>
      </c>
      <c r="R64" s="58" t="inlineStr">
        <is>
          <t>3-choice</t>
        </is>
      </c>
      <c r="S64" s="61" t="inlineStr">
        <is>
          <t>FALSE</t>
        </is>
      </c>
      <c r="T64" s="61" t="n"/>
      <c r="U64" s="62" t="inlineStr">
        <is>
          <t>The shapes follow a rule. What comes next?</t>
        </is>
      </c>
      <c r="V64" s="62" t="inlineStr">
        <is>
          <t>[1 small circle : 2 large circles] → [2 small circles : 4 large circles] → [3 small circles : 6 large circles] → ?</t>
        </is>
      </c>
      <c r="W64" s="62" t="n"/>
      <c r="X64" s="62" t="inlineStr">
        <is>
          <t>[3 small circles : 6 large circles]</t>
        </is>
      </c>
      <c r="Y64" s="62" t="inlineStr">
        <is>
          <t>[4 small circles : 8 large circles]</t>
        </is>
      </c>
      <c r="Z64" s="62" t="inlineStr">
        <is>
          <t>[4 small circles : 6 large circles]</t>
        </is>
      </c>
      <c r="AA64" s="73" t="inlineStr">
        <is>
          <t>B</t>
        </is>
      </c>
      <c r="AB64" s="64" t="n">
        <v>2</v>
      </c>
      <c r="AC64" s="58" t="inlineStr">
        <is>
          <t>A=repeats last term; C=large count doesn't scale correctly</t>
        </is>
      </c>
      <c r="AD64" s="58" t="inlineStr">
        <is>
          <t>Gf_B1_043;Gf_B1_045</t>
        </is>
      </c>
      <c r="AE64" s="58" t="n">
        <v>0.2</v>
      </c>
      <c r="AF64" s="58" t="inlineStr">
        <is>
          <t>quantitative_reasoning</t>
        </is>
      </c>
      <c r="AG64" s="58" t="inlineStr">
        <is>
          <t>no_dif</t>
        </is>
      </c>
      <c r="AH64" s="58" t="inlineStr">
        <is>
          <t>untested</t>
        </is>
      </c>
      <c r="AI64" s="58" t="n">
        <v>0</v>
      </c>
      <c r="AJ64" s="65" t="inlineStr">
        <is>
          <t>RENDER_FIX — original second-order differences series (3→5→8→12→[17]) had unrenderable answer (17 circles). Replaced with a 1:2 proportion series (1:2 → 2:4 → 3:6 → [4:8]). Max count per group=8 (2×4 grid). Rule is genuinely Gf-RQ: novel proportional reasoning, discoverable without instruction. Correct answer placed at B (redistribution).</t>
        </is>
      </c>
      <c r="AK64" s="66" t="inlineStr">
        <is>
          <t>RQ: Rule: ratio 1:2 maintained, counts increase +1 small / +2 large each step. Answer: [4 small : 8 large]. Max count=8. RENDER NOTE: show as two adjacent dot clusters (small dots left, large dots right) per cell.</t>
        </is>
      </c>
    </row>
    <row r="65" ht="52" customHeight="1">
      <c r="A65" s="57" t="inlineStr">
        <is>
          <t>Gf_B1_048</t>
        </is>
      </c>
      <c r="B65" s="58" t="inlineStr">
        <is>
          <t>Gf</t>
        </is>
      </c>
      <c r="C65" s="58" t="inlineStr">
        <is>
          <t>8-10</t>
        </is>
      </c>
      <c r="D65" s="58" t="inlineStr">
        <is>
          <t>concrete_operations</t>
        </is>
      </c>
      <c r="E65" s="58" t="inlineStr">
        <is>
          <t>Quantitative Reasoning</t>
        </is>
      </c>
      <c r="F65" s="58" t="inlineStr">
        <is>
          <t>RQ</t>
        </is>
      </c>
      <c r="G65" s="58" t="inlineStr">
        <is>
          <t>analogy_figural</t>
        </is>
      </c>
      <c r="H65" s="58" t="inlineStr">
        <is>
          <t>number_of_elements</t>
        </is>
      </c>
      <c r="I65" s="58" t="n">
        <v>1</v>
      </c>
      <c r="J65" s="58" t="inlineStr">
        <is>
          <t>figural</t>
        </is>
      </c>
      <c r="K65" s="71" t="inlineStr">
        <is>
          <t>hard</t>
        </is>
      </c>
      <c r="L65" s="60" t="n">
        <v>0.95</v>
      </c>
      <c r="M65" s="60" t="n">
        <v>1.2</v>
      </c>
      <c r="N65" s="60" t="n">
        <v>0.33</v>
      </c>
      <c r="O65" s="61" t="inlineStr">
        <is>
          <t>FALSE</t>
        </is>
      </c>
      <c r="P65" s="58" t="n">
        <v>45</v>
      </c>
      <c r="Q65" s="58" t="inlineStr">
        <is>
          <t>image</t>
        </is>
      </c>
      <c r="R65" s="58" t="inlineStr">
        <is>
          <t>3-choice</t>
        </is>
      </c>
      <c r="S65" s="61" t="inlineStr">
        <is>
          <t>FALSE</t>
        </is>
      </c>
      <c r="T65" s="61" t="n"/>
      <c r="U65" s="62" t="inlineStr">
        <is>
          <t>Two dots is to eight dots as one dot is to…?</t>
        </is>
      </c>
      <c r="V65" s="62" t="inlineStr">
        <is>
          <t>[2 dots] : [8 dots] :: [1 dot] : [?]</t>
        </is>
      </c>
      <c r="W65" s="62" t="n"/>
      <c r="X65" s="62" t="inlineStr">
        <is>
          <t>[3 dots]</t>
        </is>
      </c>
      <c r="Y65" s="62" t="inlineStr">
        <is>
          <t>[4 dots]</t>
        </is>
      </c>
      <c r="Z65" s="62" t="inlineStr">
        <is>
          <t>[5 dots]</t>
        </is>
      </c>
      <c r="AA65" s="73" t="inlineStr">
        <is>
          <t>B</t>
        </is>
      </c>
      <c r="AB65" s="64" t="n">
        <v>2</v>
      </c>
      <c r="AC65" s="58" t="inlineStr">
        <is>
          <t>A=×3 error; C=+4 error</t>
        </is>
      </c>
      <c r="AD65" s="58" t="inlineStr">
        <is>
          <t>Gf_B1_047;Gf_B1_056</t>
        </is>
      </c>
      <c r="AE65" s="58" t="n">
        <v>0.2</v>
      </c>
      <c r="AF65" s="58" t="inlineStr">
        <is>
          <t>quantitative_reasoning</t>
        </is>
      </c>
      <c r="AG65" s="58" t="inlineStr">
        <is>
          <t>no_dif</t>
        </is>
      </c>
      <c r="AH65" s="58" t="inlineStr">
        <is>
          <t>untested</t>
        </is>
      </c>
      <c r="AI65" s="58" t="n">
        <v>0</v>
      </c>
      <c r="AJ65" s="65" t="inlineStr">
        <is>
          <t>RENDER_FIX — original stimulus had 20 dots (unrenderable; max render limit is 8 discrete dots in options/stimulus). Redesigned as 2:8::1:[4]. Max=8 (2×4 grid). ×4 rule preserved. Becomes hard enemy with 056 (also ×4). Correct answer moved to B (redistribution).</t>
        </is>
      </c>
      <c r="AK65" s="66" t="inlineStr">
        <is>
          <t>RQ: Rule: ×4. 2×4=8; 1×4=4. Max=8. Hard enemy with 056 (same ×4 rule). ENEMY: Gf_B1_056.</t>
        </is>
      </c>
    </row>
    <row r="66" ht="52" customHeight="1">
      <c r="A66" s="57" t="inlineStr">
        <is>
          <t>Gf_B1_051</t>
        </is>
      </c>
      <c r="B66" s="58" t="inlineStr">
        <is>
          <t>Gf</t>
        </is>
      </c>
      <c r="C66" s="58" t="inlineStr">
        <is>
          <t>8-10</t>
        </is>
      </c>
      <c r="D66" s="58" t="inlineStr">
        <is>
          <t>concrete_operations</t>
        </is>
      </c>
      <c r="E66" s="58" t="inlineStr">
        <is>
          <t>Quantitative Reasoning</t>
        </is>
      </c>
      <c r="F66" s="58" t="inlineStr">
        <is>
          <t>RQ</t>
        </is>
      </c>
      <c r="G66" s="58" t="inlineStr">
        <is>
          <t>series_linear</t>
        </is>
      </c>
      <c r="H66" s="58" t="inlineStr">
        <is>
          <t>number_of_elements</t>
        </is>
      </c>
      <c r="I66" s="58" t="n">
        <v>1</v>
      </c>
      <c r="J66" s="58" t="inlineStr">
        <is>
          <t>figural</t>
        </is>
      </c>
      <c r="K66" s="71" t="inlineStr">
        <is>
          <t>hard</t>
        </is>
      </c>
      <c r="L66" s="60" t="n">
        <v>1.1</v>
      </c>
      <c r="M66" s="60" t="n">
        <v>1.2</v>
      </c>
      <c r="N66" s="60" t="n">
        <v>0.33</v>
      </c>
      <c r="O66" s="61" t="inlineStr">
        <is>
          <t>FALSE</t>
        </is>
      </c>
      <c r="P66" s="58" t="n">
        <v>45</v>
      </c>
      <c r="Q66" s="58" t="inlineStr">
        <is>
          <t>image</t>
        </is>
      </c>
      <c r="R66" s="58" t="inlineStr">
        <is>
          <t>3-choice</t>
        </is>
      </c>
      <c r="S66" s="61" t="inlineStr">
        <is>
          <t>FALSE</t>
        </is>
      </c>
      <c r="T66" s="61" t="n"/>
      <c r="U66" s="62" t="inlineStr">
        <is>
          <t>How many dots come next?</t>
        </is>
      </c>
      <c r="V66" s="62" t="inlineStr">
        <is>
          <t>[1 dot] → [2 dots] → [4 dots] → [7 dots] → ?</t>
        </is>
      </c>
      <c r="W66" s="62" t="n"/>
      <c r="X66" s="62" t="inlineStr">
        <is>
          <t>[9 dots]</t>
        </is>
      </c>
      <c r="Y66" s="62" t="inlineStr">
        <is>
          <t>[11 dots]</t>
        </is>
      </c>
      <c r="Z66" s="62" t="inlineStr">
        <is>
          <t>[8 dots]</t>
        </is>
      </c>
      <c r="AA66" s="73" t="inlineStr">
        <is>
          <t>B</t>
        </is>
      </c>
      <c r="AB66" s="64" t="n">
        <v>2</v>
      </c>
      <c r="AC66" s="58" t="inlineStr">
        <is>
          <t>A=adds 2 (wrong step increment); C=adds 1 (wrong step)</t>
        </is>
      </c>
      <c r="AD66" s="58" t="inlineStr">
        <is>
          <t>Gf_B1_052</t>
        </is>
      </c>
      <c r="AE66" s="58" t="n">
        <v>0.2</v>
      </c>
      <c r="AF66" s="58" t="inlineStr">
        <is>
          <t>quantitative_reasoning</t>
        </is>
      </c>
      <c r="AG66" s="58" t="inlineStr">
        <is>
          <t>no_dif</t>
        </is>
      </c>
      <c r="AH66" s="58" t="inlineStr">
        <is>
          <t>untested</t>
        </is>
      </c>
      <c r="AI66" s="58" t="n">
        <v>0</v>
      </c>
      <c r="AJ66" s="65" t="inlineStr">
        <is>
          <t>RENDER_FIX + VALIDITY_FIX — Fibonacci series replaced: (1) 13 dots unrenderable; (2) Fibonacci is a known curriculum pattern (Gq-KM, not Gf-RQ); (3) required tracking 2 prior terms (Gwm overload). New rule: increasing step +1,+2,+3,+4 (differences increase by 1 each step). Series: 1→2→4→7→[11]. Novel, discoverable without instruction. Max=11 (displayed as 3×4 minus one dot grid). b≈1.1 preserved. Correct answer at B (redistribution).</t>
        </is>
      </c>
      <c r="AK66" s="66" t="inlineStr">
        <is>
          <t>RQ: Rule: step increases by 1 each time (+1→+2→+3→+4). 1,2,4,7,11. Genuinely novel — no curriculum equivalent. Max=11. RENDER NOTE: 11 dots = 3×4 grid with 1 dot removed (display as partial grid).</t>
        </is>
      </c>
    </row>
    <row r="67" ht="52" customHeight="1">
      <c r="A67" s="57" t="inlineStr">
        <is>
          <t>Gf_B1_053</t>
        </is>
      </c>
      <c r="B67" s="58" t="inlineStr">
        <is>
          <t>Gf</t>
        </is>
      </c>
      <c r="C67" s="58" t="inlineStr">
        <is>
          <t>8-10</t>
        </is>
      </c>
      <c r="D67" s="58" t="inlineStr">
        <is>
          <t>concrete_operations</t>
        </is>
      </c>
      <c r="E67" s="58" t="inlineStr">
        <is>
          <t>Quantitative Reasoning</t>
        </is>
      </c>
      <c r="F67" s="58" t="inlineStr">
        <is>
          <t>RQ</t>
        </is>
      </c>
      <c r="G67" s="58" t="inlineStr">
        <is>
          <t>matrix_2x2</t>
        </is>
      </c>
      <c r="H67" s="58" t="inlineStr">
        <is>
          <t>number_of_elements</t>
        </is>
      </c>
      <c r="I67" s="58" t="n">
        <v>1</v>
      </c>
      <c r="J67" s="58" t="inlineStr">
        <is>
          <t>figural</t>
        </is>
      </c>
      <c r="K67" s="71" t="inlineStr">
        <is>
          <t>hard</t>
        </is>
      </c>
      <c r="L67" s="60" t="n">
        <v>1.15</v>
      </c>
      <c r="M67" s="60" t="n">
        <v>1.2</v>
      </c>
      <c r="N67" s="60" t="n">
        <v>0.33</v>
      </c>
      <c r="O67" s="61" t="inlineStr">
        <is>
          <t>FALSE</t>
        </is>
      </c>
      <c r="P67" s="58" t="n">
        <v>45</v>
      </c>
      <c r="Q67" s="58" t="inlineStr">
        <is>
          <t>image</t>
        </is>
      </c>
      <c r="R67" s="58" t="inlineStr">
        <is>
          <t>3-choice</t>
        </is>
      </c>
      <c r="S67" s="61" t="inlineStr">
        <is>
          <t>FALSE</t>
        </is>
      </c>
      <c r="T67" s="61" t="n"/>
      <c r="U67" s="62" t="inlineStr">
        <is>
          <t>The dots follow a number rule. What fills the empty box?</t>
        </is>
      </c>
      <c r="V67" s="62" t="inlineStr">
        <is>
          <t>Row 1: [2 dots] | [6 dots]</t>
        </is>
      </c>
      <c r="W67" s="62" t="inlineStr">
        <is>
          <t>Row 2: [3 dots] | [?]</t>
        </is>
      </c>
      <c r="X67" s="62" t="inlineStr">
        <is>
          <t>[7 dots]</t>
        </is>
      </c>
      <c r="Y67" s="62" t="inlineStr">
        <is>
          <t>[8 dots]</t>
        </is>
      </c>
      <c r="Z67" s="62" t="inlineStr">
        <is>
          <t>[9 dots]</t>
        </is>
      </c>
      <c r="AA67" s="72" t="inlineStr">
        <is>
          <t>C</t>
        </is>
      </c>
      <c r="AB67" s="64" t="n">
        <v>3</v>
      </c>
      <c r="AC67" s="58" t="inlineStr">
        <is>
          <t>A=×3.5 error; B=×3 of wrong cell</t>
        </is>
      </c>
      <c r="AD67" s="58" t="inlineStr">
        <is>
          <t>Gf_B1_043;Gf_B1_054</t>
        </is>
      </c>
      <c r="AE67" s="58" t="n">
        <v>0.2</v>
      </c>
      <c r="AF67" s="58" t="inlineStr">
        <is>
          <t>quantitative_reasoning</t>
        </is>
      </c>
      <c r="AG67" s="58" t="inlineStr">
        <is>
          <t>no_dif</t>
        </is>
      </c>
      <c r="AH67" s="58" t="inlineStr">
        <is>
          <t>untested</t>
        </is>
      </c>
      <c r="AI67" s="58" t="n">
        <v>0</v>
      </c>
      <c r="AJ67" s="65" t="inlineStr">
        <is>
          <t>RENDER_FIX — original had 15 dots in stimulus (unrenderable). Lowered counts: 2:6::3:[9]. Max=9 (3×3 grid). ×3 rule preserved. Soft enemy with 043 (same ×3 rule, same template). Correct answer placed at C (redistribution). ENEMY_ADDED: Gf_B1_043.</t>
        </is>
      </c>
      <c r="AK67" s="66" t="inlineStr">
        <is>
          <t>RQ: Rule: ×3 across columns. 2×3=6; 3×3=9. Max=9. Soft enemy with 043. RENDER NOTE: 9 dots = 3×3 grid.</t>
        </is>
      </c>
    </row>
    <row r="68" ht="52" customHeight="1">
      <c r="A68" s="57" t="inlineStr">
        <is>
          <t>Gf_B1_056</t>
        </is>
      </c>
      <c r="B68" s="58" t="inlineStr">
        <is>
          <t>Gf</t>
        </is>
      </c>
      <c r="C68" s="58" t="inlineStr">
        <is>
          <t>8-10</t>
        </is>
      </c>
      <c r="D68" s="58" t="inlineStr">
        <is>
          <t>concrete_operations</t>
        </is>
      </c>
      <c r="E68" s="58" t="inlineStr">
        <is>
          <t>Quantitative Reasoning</t>
        </is>
      </c>
      <c r="F68" s="58" t="inlineStr">
        <is>
          <t>RQ</t>
        </is>
      </c>
      <c r="G68" s="58" t="inlineStr">
        <is>
          <t>analogy_figural</t>
        </is>
      </c>
      <c r="H68" s="58" t="inlineStr">
        <is>
          <t>number_of_elements</t>
        </is>
      </c>
      <c r="I68" s="58" t="n">
        <v>1</v>
      </c>
      <c r="J68" s="58" t="inlineStr">
        <is>
          <t>figural</t>
        </is>
      </c>
      <c r="K68" s="71" t="inlineStr">
        <is>
          <t>hard</t>
        </is>
      </c>
      <c r="L68" s="60" t="n">
        <v>1.3</v>
      </c>
      <c r="M68" s="60" t="n">
        <v>1.2</v>
      </c>
      <c r="N68" s="60" t="n">
        <v>0.33</v>
      </c>
      <c r="O68" s="61" t="inlineStr">
        <is>
          <t>FALSE</t>
        </is>
      </c>
      <c r="P68" s="58" t="n">
        <v>45</v>
      </c>
      <c r="Q68" s="58" t="inlineStr">
        <is>
          <t>image</t>
        </is>
      </c>
      <c r="R68" s="58" t="inlineStr">
        <is>
          <t>3-choice</t>
        </is>
      </c>
      <c r="S68" s="61" t="inlineStr">
        <is>
          <t>FALSE</t>
        </is>
      </c>
      <c r="T68" s="61" t="n"/>
      <c r="U68" s="62" t="inlineStr">
        <is>
          <t>Two squares is to eight squares as one square is to…?</t>
        </is>
      </c>
      <c r="V68" s="62" t="inlineStr">
        <is>
          <t>[2 squares] : [8 squares] :: [1 square] : [?]</t>
        </is>
      </c>
      <c r="W68" s="62" t="n"/>
      <c r="X68" s="62" t="inlineStr">
        <is>
          <t>[4 squares]</t>
        </is>
      </c>
      <c r="Y68" s="62" t="inlineStr">
        <is>
          <t>[6 squares]</t>
        </is>
      </c>
      <c r="Z68" s="62" t="inlineStr">
        <is>
          <t>[3 squares]</t>
        </is>
      </c>
      <c r="AA68" s="63" t="inlineStr">
        <is>
          <t>A</t>
        </is>
      </c>
      <c r="AB68" s="64" t="n">
        <v>1</v>
      </c>
      <c r="AC68" s="58" t="inlineStr">
        <is>
          <t>B=×3 error; C=×3 of wrong term</t>
        </is>
      </c>
      <c r="AD68" s="58" t="inlineStr">
        <is>
          <t>Gf_B1_048;Gf_B1_055</t>
        </is>
      </c>
      <c r="AE68" s="58" t="n">
        <v>0.2</v>
      </c>
      <c r="AF68" s="58" t="inlineStr">
        <is>
          <t>quantitative_reasoning</t>
        </is>
      </c>
      <c r="AG68" s="58" t="inlineStr">
        <is>
          <t>no_dif</t>
        </is>
      </c>
      <c r="AH68" s="58" t="inlineStr">
        <is>
          <t>untested</t>
        </is>
      </c>
      <c r="AI68" s="58" t="n">
        <v>0</v>
      </c>
      <c r="AJ68" s="65" t="inlineStr">
        <is>
          <t>RENDER_FIX — original option C had 24 dots (extreme, unrenderable). Lowered: 2:8::1:[4]. Max=8. ×4 rule preserved. Uses squares to distinguish from 048 (dots). Hard enemy with 048 (same ×4 rule). Correct answer at A.</t>
        </is>
      </c>
      <c r="AK68" s="66" t="inlineStr">
        <is>
          <t>RQ: Rule: ×4. 2×4=8; 1×4=4. Max=8. Uses squares (048 uses dots) — hard enemy pair. ENEMY: Gf_B1_048.</t>
        </is>
      </c>
    </row>
    <row r="70" ht="18" customHeight="1">
      <c r="A70" s="3" t="inlineStr">
        <is>
          <t>CHANGE LOG COLOUR LEGEND:</t>
        </is>
      </c>
    </row>
    <row r="71" ht="16" customHeight="1">
      <c r="A71" s="74" t="inlineStr">
        <is>
          <t xml:space="preserve">  ███  UNCHANGED — no changes applied</t>
        </is>
      </c>
    </row>
    <row r="72" ht="16" customHeight="1">
      <c r="A72" s="75" t="inlineStr">
        <is>
          <t xml:space="preserve">  ███  RENDER_FIX — high dot/shape count replaced with size-encoding or lower counts (max 8 per cell)</t>
        </is>
      </c>
    </row>
    <row r="73" ht="16" customHeight="1">
      <c r="A73" s="76" t="inlineStr">
        <is>
          <t xml:space="preserve">  ███  VALIDITY_FIX — construct logic corrected (rule now extractable; rule dims capped at 2; wrong construct removed)</t>
        </is>
      </c>
    </row>
    <row r="74" ht="16" customHeight="1">
      <c r="A74" s="77" t="inlineStr">
        <is>
          <t xml:space="preserve">  ███  SPRITE_FIX / FLOOR_FIX — off-spec shape replaced (heart→oval) / empty-box option removed</t>
        </is>
      </c>
    </row>
    <row r="75" ht="16" customHeight="1">
      <c r="A75" s="78" t="inlineStr">
        <is>
          <t xml:space="preserve">  ███  CORRECT_IDX — correct answer position redistributed (was A-biased ~60%; now ~21A/21B/21C)</t>
        </is>
      </c>
    </row>
    <row r="76" ht="16" customHeight="1">
      <c r="A76" s="79" t="inlineStr">
        <is>
          <t xml:space="preserve">  ███  ENEMY_ADDED — new soft/hard enemy link added to prevent co-appearance in same CAT session</t>
        </is>
      </c>
    </row>
  </sheetData>
  <mergeCells count="11">
    <mergeCell ref="A3:AK3"/>
    <mergeCell ref="A72:AK72"/>
    <mergeCell ref="A7:AK7"/>
    <mergeCell ref="A73:AK73"/>
    <mergeCell ref="A70:AK70"/>
    <mergeCell ref="A71:AK71"/>
    <mergeCell ref="A76:AK76"/>
    <mergeCell ref="A1:AK1"/>
    <mergeCell ref="A75:AK75"/>
    <mergeCell ref="A56:AK56"/>
    <mergeCell ref="A74:AK7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55" customWidth="1" min="2" max="2"/>
    <col width="70" customWidth="1" min="3" max="3"/>
    <col width="50" customWidth="1" min="4" max="4"/>
  </cols>
  <sheetData>
    <row r="1" ht="28" customHeight="1">
      <c r="A1" s="80" t="inlineStr">
        <is>
          <t>Gf Band 1 Item Bank v2.0 — Distribution Summary</t>
        </is>
      </c>
    </row>
    <row r="3">
      <c r="A3" s="81" t="inlineStr">
        <is>
          <t>ITEM COUNTS</t>
        </is>
      </c>
    </row>
    <row r="4">
      <c r="A4" s="82" t="inlineStr">
        <is>
          <t>Category</t>
        </is>
      </c>
      <c r="B4" s="82" t="inlineStr">
        <is>
          <t>Count</t>
        </is>
      </c>
      <c r="C4" s="82" t="inlineStr">
        <is>
          <t>% of Bank</t>
        </is>
      </c>
      <c r="D4" s="82" t="inlineStr">
        <is>
          <t>Notes</t>
        </is>
      </c>
    </row>
    <row r="5">
      <c r="A5" s="83" t="inlineStr">
        <is>
          <t>Practice items (P01–P03)</t>
        </is>
      </c>
      <c r="B5" s="84" t="n">
        <v>3</v>
      </c>
      <c r="C5" s="84" t="inlineStr">
        <is>
          <t>4.8%</t>
        </is>
      </c>
      <c r="D5" s="84" t="inlineStr">
        <is>
          <t>Not scored; teach response format</t>
        </is>
      </c>
    </row>
    <row r="6">
      <c r="A6" s="85" t="inlineStr">
        <is>
          <t>Operational items (total)</t>
        </is>
      </c>
      <c r="B6" s="86" t="n">
        <v>60</v>
      </c>
      <c r="C6" s="86" t="inlineStr">
        <is>
          <t>95.2%</t>
        </is>
      </c>
      <c r="D6" s="86" t="inlineStr">
        <is>
          <t>Scored; CAT adaptive pool</t>
        </is>
      </c>
    </row>
    <row r="7">
      <c r="A7" s="83" t="inlineStr">
        <is>
          <t xml:space="preserve">  → Induction (I)</t>
        </is>
      </c>
      <c r="B7" s="84" t="n">
        <v>42</v>
      </c>
      <c r="C7" s="84" t="inlineStr">
        <is>
          <t>66.7%</t>
        </is>
      </c>
      <c r="D7" s="84" t="inlineStr">
        <is>
          <t>Figural pattern induction</t>
        </is>
      </c>
    </row>
    <row r="8">
      <c r="A8" s="85" t="inlineStr">
        <is>
          <t xml:space="preserve">  → Quantitative Reasoning (RQ)</t>
        </is>
      </c>
      <c r="B8" s="86" t="n">
        <v>18</v>
      </c>
      <c r="C8" s="86" t="inlineStr">
        <is>
          <t>28.6%</t>
        </is>
      </c>
      <c r="D8" s="86" t="inlineStr">
        <is>
          <t>Novel quantitative rule discovery</t>
        </is>
      </c>
    </row>
    <row r="9">
      <c r="A9" s="83" t="inlineStr">
        <is>
          <t>Anchor items (GF_ANCHOR_B1)</t>
        </is>
      </c>
      <c r="B9" s="84" t="n">
        <v>4</v>
      </c>
      <c r="C9" s="84" t="inlineStr">
        <is>
          <t>6.3%</t>
        </is>
      </c>
      <c r="D9" s="84" t="inlineStr">
        <is>
          <t>001, 006, 018, 025, 036 → 4 operational anchors</t>
        </is>
      </c>
    </row>
    <row r="10">
      <c r="A10" s="85" t="inlineStr">
        <is>
          <t>matrix_2x2 items</t>
        </is>
      </c>
      <c r="B10" s="86" t="n">
        <v>22</v>
      </c>
      <c r="C10" s="86" t="inlineStr">
        <is>
          <t>34.9%</t>
        </is>
      </c>
      <c r="D10" s="86" t="inlineStr">
        <is>
          <t>2×2 figural matrix</t>
        </is>
      </c>
    </row>
    <row r="11">
      <c r="A11" s="83" t="inlineStr">
        <is>
          <t>series_linear items</t>
        </is>
      </c>
      <c r="B11" s="84" t="n">
        <v>24</v>
      </c>
      <c r="C11" s="84" t="inlineStr">
        <is>
          <t>38.1%</t>
        </is>
      </c>
      <c r="D11" s="84" t="inlineStr">
        <is>
          <t>Linear figural/symbolic series</t>
        </is>
      </c>
    </row>
    <row r="12">
      <c r="A12" s="85" t="inlineStr">
        <is>
          <t>analogy_figural items</t>
        </is>
      </c>
      <c r="B12" s="86" t="n">
        <v>12</v>
      </c>
      <c r="C12" s="86" t="inlineStr">
        <is>
          <t>19.0%</t>
        </is>
      </c>
      <c r="D12" s="86" t="inlineStr">
        <is>
          <t>A:B::C:? with shapes</t>
        </is>
      </c>
    </row>
    <row r="13">
      <c r="A13" s="83" t="inlineStr">
        <is>
          <t>odd_one_out_basic items</t>
        </is>
      </c>
      <c r="B13" s="84" t="n">
        <v>5</v>
      </c>
      <c r="C13" s="84" t="inlineStr">
        <is>
          <t>7.9%</t>
        </is>
      </c>
      <c r="D13" s="84" t="inlineStr">
        <is>
          <t>4-item odd-one-out</t>
        </is>
      </c>
    </row>
    <row r="14">
      <c r="A14" s="85" t="inlineStr">
        <is>
          <t>matrix_3x3 items</t>
        </is>
      </c>
      <c r="B14" s="86" t="n">
        <v>0</v>
      </c>
      <c r="C14" s="86" t="inlineStr">
        <is>
          <t>0.0%</t>
        </is>
      </c>
      <c r="D14" s="86" t="inlineStr">
        <is>
          <t>⚠ GAP — needed for b=+0.3 to +0.6 zone</t>
        </is>
      </c>
    </row>
    <row r="16">
      <c r="A16" s="81" t="inlineStr">
        <is>
          <t>DIFFICULTY / b-PRIOR DISTRIBUTION</t>
        </is>
      </c>
    </row>
    <row r="17">
      <c r="A17" s="82" t="inlineStr">
        <is>
          <t>Difficulty Level</t>
        </is>
      </c>
      <c r="B17" s="82" t="inlineStr">
        <is>
          <t>b-prior Range</t>
        </is>
      </c>
      <c r="C17" s="82" t="inlineStr">
        <is>
          <t>Item Count</t>
        </is>
      </c>
      <c r="D17" s="82" t="inlineStr">
        <is>
          <t>% Pool</t>
        </is>
      </c>
      <c r="E17" s="82" t="inlineStr">
        <is>
          <t>Notes</t>
        </is>
      </c>
    </row>
    <row r="18">
      <c r="A18" s="86" t="inlineStr">
        <is>
          <t>easy</t>
        </is>
      </c>
      <c r="B18" s="86" t="inlineStr">
        <is>
          <t>−1.50 to −1.05</t>
        </is>
      </c>
      <c r="C18" s="86">
        <f>COUNTIF(Gf_B1_Items!K:K,"easy")</f>
        <v/>
      </c>
      <c r="D18" s="86" t="inlineStr"/>
      <c r="E18" s="86" t="inlineStr">
        <is>
          <t>Floor anchors; practice-level items</t>
        </is>
      </c>
    </row>
    <row r="19">
      <c r="A19" s="84" t="inlineStr">
        <is>
          <t>medium</t>
        </is>
      </c>
      <c r="B19" s="84" t="inlineStr">
        <is>
          <t>−0.70 to +0.30</t>
        </is>
      </c>
      <c r="C19" s="84">
        <f>COUNTIF(Gf_B1_Items!K:K,"medium")</f>
        <v/>
      </c>
      <c r="D19" s="84" t="inlineStr"/>
      <c r="E19" s="84" t="inlineStr">
        <is>
          <t>Core discriminating zone</t>
        </is>
      </c>
    </row>
    <row r="20">
      <c r="A20" s="86" t="inlineStr">
        <is>
          <t>hard</t>
        </is>
      </c>
      <c r="B20" s="86" t="inlineStr">
        <is>
          <t>+0.55 to +1.50</t>
        </is>
      </c>
      <c r="C20" s="86">
        <f>COUNTIF(Gf_B1_Items!K:K,"hard")</f>
        <v/>
      </c>
      <c r="D20" s="86" t="inlineStr"/>
      <c r="E20" s="86" t="inlineStr">
        <is>
          <t>Ceiling items; high-ability discrimination</t>
        </is>
      </c>
    </row>
    <row r="21">
      <c r="A21" s="84" t="inlineStr">
        <is>
          <t>very_hard</t>
        </is>
      </c>
      <c r="B21" s="84" t="inlineStr">
        <is>
          <t>N/A</t>
        </is>
      </c>
      <c r="C21" s="84" t="inlineStr">
        <is>
          <t>0</t>
        </is>
      </c>
      <c r="D21" s="84" t="inlineStr">
        <is>
          <t>0%</t>
        </is>
      </c>
      <c r="E21" s="84" t="inlineStr">
        <is>
          <t>Not used in Band 1 (reserved for Band 2)</t>
        </is>
      </c>
    </row>
    <row r="24">
      <c r="A24" s="81" t="inlineStr">
        <is>
          <t>CHANGE LOG SUMMARY (v1.0 → v2.0)</t>
        </is>
      </c>
    </row>
    <row r="25">
      <c r="A25" s="82" t="inlineStr">
        <is>
          <t>Change Type</t>
        </is>
      </c>
      <c r="B25" s="82" t="inlineStr">
        <is>
          <t>Items Affected</t>
        </is>
      </c>
      <c r="C25" s="82" t="inlineStr">
        <is>
          <t>Root Cause</t>
        </is>
      </c>
      <c r="D25" s="82" t="inlineStr">
        <is>
          <t>Manual Reference</t>
        </is>
      </c>
    </row>
    <row r="26" ht="52" customHeight="1">
      <c r="A26" s="87" t="inlineStr">
        <is>
          <t>RENDER_FIX</t>
        </is>
      </c>
      <c r="B26" s="16" t="inlineStr">
        <is>
          <t>023, 037, 038, 044, 048, 051, 053, 056, 058 (9 items)</t>
        </is>
      </c>
      <c r="C26" s="16" t="inlineStr">
        <is>
          <t>Dot/shape counts &gt;8 per cell (up to 120) — unmeasurable counting load; shifts construct from Gf to Ga</t>
        </is>
      </c>
      <c r="D26" s="16" t="inlineStr">
        <is>
          <t>Manual §4.1 sprite spec; platform render limit ≤8 discrete items per cell</t>
        </is>
      </c>
    </row>
    <row r="27" ht="52" customHeight="1">
      <c r="A27" s="88" t="inlineStr">
        <is>
          <t>VALIDITY_FIX</t>
        </is>
      </c>
      <c r="B27" s="5" t="inlineStr">
        <is>
          <t>011, 021, 034, 035, 049, 054, 058, 059, 060 (9 items)</t>
        </is>
      </c>
      <c r="C27" s="5" t="inlineStr">
        <is>
          <t>Arbitrary shape mappings; &gt;2 rule dims; wrong construct (Fibonacci=Gwm; factorial=Gq-KM); undefined size levels</t>
        </is>
      </c>
      <c r="D27" s="5" t="inlineStr">
        <is>
          <t>Manual §Gf: max 2 rule dims Band 1; §Gf-RQ: novel rule only; §3.1 token size levels</t>
        </is>
      </c>
    </row>
    <row r="28" ht="52" customHeight="1">
      <c r="A28" s="87" t="inlineStr">
        <is>
          <t>SPRITE_FIX</t>
        </is>
      </c>
      <c r="B28" s="16" t="inlineStr">
        <is>
          <t>012 (1 item)</t>
        </is>
      </c>
      <c r="C28" s="16" t="inlineStr">
        <is>
          <t>Heart shape not in geometric-shapes-sprite.svg approved token library</t>
        </is>
      </c>
      <c r="D28" s="16" t="inlineStr">
        <is>
          <t>Manual §4.1: all stimuli must use approved sprite tokens</t>
        </is>
      </c>
    </row>
    <row r="29" ht="52" customHeight="1">
      <c r="A29" s="88" t="inlineStr">
        <is>
          <t>FLOOR_FIX</t>
        </is>
      </c>
      <c r="B29" s="5" t="inlineStr">
        <is>
          <t>009 (1 item)</t>
        </is>
      </c>
      <c r="C29" s="5" t="inlineStr">
        <is>
          <t>Answer option '0 circles / empty box' confusing for 8yr olds (interpreted as system error)</t>
        </is>
      </c>
      <c r="D29" s="5" t="inlineStr">
        <is>
          <t>Blueprint §Band 1 design rules: concrete objects only; no empty/null options</t>
        </is>
      </c>
    </row>
    <row r="30" ht="52" customHeight="1">
      <c r="A30" s="87" t="inlineStr">
        <is>
          <t>CORRECT_IDX</t>
        </is>
      </c>
      <c r="B30" s="16" t="inlineStr">
        <is>
          <t>022, 024, 026, 027, 033, 040, 045, 047, 050, 052, 055, 057 (12 items)</t>
        </is>
      </c>
      <c r="C30" s="16" t="inlineStr">
        <is>
          <t>Original bank: correctAnswer=A in ~60% of items. Statistical detection by test-wise students.</t>
        </is>
      </c>
      <c r="D30" s="16" t="inlineStr">
        <is>
          <t>Psychometric best practice: uniform ~33% per position for 3-choice format</t>
        </is>
      </c>
    </row>
    <row r="31" ht="52" customHeight="1">
      <c r="A31" s="88" t="inlineStr">
        <is>
          <t>ENEMY_ADDED</t>
        </is>
      </c>
      <c r="B31" s="5" t="inlineStr">
        <is>
          <t>008↔037, 043↔053, 048↔056, 011↔P03 (4 new pairs)</t>
        </is>
      </c>
      <c r="C31" s="5" t="inlineStr">
        <is>
          <t>Items sharing identical quantitative rule must be prevented from co-appearing in same CAT session</t>
        </is>
      </c>
      <c r="D31" s="5" t="inlineStr">
        <is>
          <t>Manual §5.2: Local Independence Q3; Blueprint §template enemy rules</t>
        </is>
      </c>
    </row>
    <row r="32" ht="52" customHeight="1">
      <c r="A32" s="87" t="inlineStr">
        <is>
          <t>UNCHANGED</t>
        </is>
      </c>
      <c r="B32" s="16" t="inlineStr">
        <is>
          <t>38 items</t>
        </is>
      </c>
      <c r="C32" s="16" t="inlineStr">
        <is>
          <t>Clean per audit — no rendering, construct, sprite, or metadata issues</t>
        </is>
      </c>
      <c r="D32" s="16" t="inlineStr">
        <is>
          <t>—</t>
        </is>
      </c>
    </row>
  </sheetData>
  <mergeCells count="4">
    <mergeCell ref="A3:H3"/>
    <mergeCell ref="A16:H16"/>
    <mergeCell ref="A24:H24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62" customWidth="1" min="3" max="3"/>
    <col width="40" customWidth="1" min="4" max="4"/>
  </cols>
  <sheetData>
    <row r="1" ht="28" customHeight="1">
      <c r="A1" s="89" t="inlineStr">
        <is>
          <t>Gf Band 1 Item Bank v2.0 — Field Definitions &amp; Controlled Vocabularies</t>
        </is>
      </c>
    </row>
    <row r="2">
      <c r="A2" s="90" t="inlineStr">
        <is>
          <t>Field</t>
        </is>
      </c>
      <c r="B2" s="90" t="inlineStr">
        <is>
          <t>Type / Values</t>
        </is>
      </c>
      <c r="C2" s="90" t="inlineStr">
        <is>
          <t>Description</t>
        </is>
      </c>
      <c r="D2" s="90" t="inlineStr">
        <is>
          <t>Example</t>
        </is>
      </c>
    </row>
    <row r="3" ht="36" customHeight="1">
      <c r="A3" s="88" t="inlineStr">
        <is>
          <t>item_id</t>
        </is>
      </c>
      <c r="B3" s="5" t="inlineStr">
        <is>
          <t>String  DOMAIN_BAND_NNN</t>
        </is>
      </c>
      <c r="C3" s="5" t="inlineStr">
        <is>
          <t>Unique identifier per manual §3.2 naming convention</t>
        </is>
      </c>
      <c r="D3" s="5" t="inlineStr">
        <is>
          <t>Gf_B1_023</t>
        </is>
      </c>
    </row>
    <row r="4" ht="36" customHeight="1">
      <c r="A4" s="87" t="inlineStr">
        <is>
          <t>domain</t>
        </is>
      </c>
      <c r="B4" s="16" t="inlineStr">
        <is>
          <t>String  Gf|Gv|Gc|Gq|Gs|Gwm</t>
        </is>
      </c>
      <c r="C4" s="16" t="inlineStr">
        <is>
          <t>CHC broad ability code</t>
        </is>
      </c>
      <c r="D4" s="16" t="inlineStr">
        <is>
          <t>Gf</t>
        </is>
      </c>
    </row>
    <row r="5" ht="36" customHeight="1">
      <c r="A5" s="88" t="inlineStr">
        <is>
          <t>ageBand</t>
        </is>
      </c>
      <c r="B5" s="5" t="inlineStr">
        <is>
          <t>Enum  8-10|11-13|14-18</t>
        </is>
      </c>
      <c r="C5" s="5" t="inlineStr">
        <is>
          <t>Target age band</t>
        </is>
      </c>
      <c r="D5" s="5" t="inlineStr">
        <is>
          <t>8-10</t>
        </is>
      </c>
    </row>
    <row r="6" ht="36" customHeight="1">
      <c r="A6" s="87" t="inlineStr">
        <is>
          <t>cogDevStage</t>
        </is>
      </c>
      <c r="B6" s="16" t="inlineStr">
        <is>
          <t>Enum  concrete|transitional|formal</t>
        </is>
      </c>
      <c r="C6" s="16" t="inlineStr">
        <is>
          <t>Piagetian stage</t>
        </is>
      </c>
      <c r="D6" s="16" t="inlineStr">
        <is>
          <t>concrete_operations</t>
        </is>
      </c>
    </row>
    <row r="7" ht="36" customHeight="1">
      <c r="A7" s="88" t="inlineStr">
        <is>
          <t>narrowAbility</t>
        </is>
      </c>
      <c r="B7" s="5" t="inlineStr">
        <is>
          <t>String</t>
        </is>
      </c>
      <c r="C7" s="5" t="inlineStr">
        <is>
          <t>CHC Stratum I name</t>
        </is>
      </c>
      <c r="D7" s="5" t="inlineStr">
        <is>
          <t>Induction</t>
        </is>
      </c>
    </row>
    <row r="8" ht="36" customHeight="1">
      <c r="A8" s="87" t="inlineStr">
        <is>
          <t>narrowAbilityCode</t>
        </is>
      </c>
      <c r="B8" s="16" t="inlineStr">
        <is>
          <t>Enum  I|RQ|RG</t>
        </is>
      </c>
      <c r="C8" s="16" t="inlineStr">
        <is>
          <t>CHC Stratum I code (McGrew 2009)</t>
        </is>
      </c>
      <c r="D8" s="16" t="inlineStr">
        <is>
          <t>I</t>
        </is>
      </c>
    </row>
    <row r="9" ht="36" customHeight="1">
      <c r="A9" s="88" t="inlineStr">
        <is>
          <t>template</t>
        </is>
      </c>
      <c r="B9" s="5" t="inlineStr">
        <is>
          <t>Enum  matrix_2x2|series_linear|analogy_figural|odd_one_out_basic|matrix_3x3</t>
        </is>
      </c>
      <c r="C9" s="5" t="inlineStr">
        <is>
          <t>Item family template governing enemy-item rules</t>
        </is>
      </c>
      <c r="D9" s="5" t="inlineStr">
        <is>
          <t>matrix_2x2</t>
        </is>
      </c>
    </row>
    <row r="10" ht="36" customHeight="1">
      <c r="A10" s="87" t="inlineStr">
        <is>
          <t>ruleType</t>
        </is>
      </c>
      <c r="B10" s="16" t="inlineStr">
        <is>
          <t>String  size_change|shading_pattern|shape_change|number_of_elements|size_change+shading_pattern|...</t>
        </is>
      </c>
      <c r="C10" s="16" t="inlineStr">
        <is>
          <t>Transformation rule(s) — compound rules joined with '+'</t>
        </is>
      </c>
      <c r="D10" s="16" t="inlineStr">
        <is>
          <t>size_change+shading_pattern</t>
        </is>
      </c>
    </row>
    <row r="11" ht="36" customHeight="1">
      <c r="A11" s="88" t="inlineStr">
        <is>
          <t>ruleDimensions</t>
        </is>
      </c>
      <c r="B11" s="5" t="inlineStr">
        <is>
          <t>Int  1|2  (Band 1 max=2)</t>
        </is>
      </c>
      <c r="C11" s="5" t="inlineStr">
        <is>
          <t>Number of simultaneous rule dimensions. Band 1 HARD CAP: 2</t>
        </is>
      </c>
      <c r="D11" s="5" t="inlineStr">
        <is>
          <t>2</t>
        </is>
      </c>
    </row>
    <row r="12" ht="36" customHeight="1">
      <c r="A12" s="87" t="inlineStr">
        <is>
          <t>itemSubtype</t>
        </is>
      </c>
      <c r="B12" s="16" t="inlineStr">
        <is>
          <t>Enum  figural|abstract</t>
        </is>
      </c>
      <c r="C12" s="16" t="inlineStr">
        <is>
          <t>Stimulus modality (Band 1 = figural only)</t>
        </is>
      </c>
      <c r="D12" s="16" t="inlineStr">
        <is>
          <t>figural</t>
        </is>
      </c>
    </row>
    <row r="13" ht="36" customHeight="1">
      <c r="A13" s="88" t="inlineStr">
        <is>
          <t>difficultyLevel</t>
        </is>
      </c>
      <c r="B13" s="5" t="inlineStr">
        <is>
          <t>Enum  easy|medium|hard|very_hard</t>
        </is>
      </c>
      <c r="C13" s="5" t="inlineStr">
        <is>
          <t>Calibration band; must match b-prior range</t>
        </is>
      </c>
      <c r="D13" s="5" t="inlineStr">
        <is>
          <t>medium</t>
        </is>
      </c>
    </row>
    <row r="14" ht="36" customHeight="1">
      <c r="A14" s="87" t="inlineStr">
        <is>
          <t>irt_b_estimated</t>
        </is>
      </c>
      <c r="B14" s="16" t="inlineStr">
        <is>
          <t>Float  −1.8 to +1.5 (Band 1)</t>
        </is>
      </c>
      <c r="C14" s="16" t="inlineStr">
        <is>
          <t>IRT difficulty prior (logit scale, Band 2 μ=0 σ=1 reference)</t>
        </is>
      </c>
      <c r="D14" s="16" t="inlineStr">
        <is>
          <t>0.25</t>
        </is>
      </c>
    </row>
    <row r="15" ht="36" customHeight="1">
      <c r="A15" s="88" t="inlineStr">
        <is>
          <t>irt_a_estimated</t>
        </is>
      </c>
      <c r="B15" s="5" t="inlineStr">
        <is>
          <t>Float  0.8–1.4 (uncalibrated prior)</t>
        </is>
      </c>
      <c r="C15" s="5" t="inlineStr">
        <is>
          <t>IRT discrimination prior</t>
        </is>
      </c>
      <c r="D15" s="5" t="inlineStr">
        <is>
          <t>1.1</t>
        </is>
      </c>
    </row>
    <row r="16" ht="36" customHeight="1">
      <c r="A16" s="87" t="inlineStr">
        <is>
          <t>irt_c</t>
        </is>
      </c>
      <c r="B16" s="16" t="inlineStr">
        <is>
          <t>Float  0.33 (3-choice)</t>
        </is>
      </c>
      <c r="C16" s="16" t="inlineStr">
        <is>
          <t>Guessing parameter — fixed at 1/k per manual §5.3</t>
        </is>
      </c>
      <c r="D16" s="16" t="inlineStr">
        <is>
          <t>0.33</t>
        </is>
      </c>
    </row>
    <row r="17" ht="36" customHeight="1">
      <c r="A17" s="88" t="inlineStr">
        <is>
          <t>irt_calibrated</t>
        </is>
      </c>
      <c r="B17" s="5" t="inlineStr">
        <is>
          <t>Boolean  TRUE|FALSE</t>
        </is>
      </c>
      <c r="C17" s="5" t="inlineStr">
        <is>
          <t>Has item been empirically calibrated? All FALSE at this stage</t>
        </is>
      </c>
      <c r="D17" s="5" t="inlineStr">
        <is>
          <t>FALSE</t>
        </is>
      </c>
    </row>
    <row r="18" ht="36" customHeight="1">
      <c r="A18" s="87" t="inlineStr">
        <is>
          <t>timeLimitSec</t>
        </is>
      </c>
      <c r="B18" s="16" t="inlineStr">
        <is>
          <t>Int  30–45 (Band 1)</t>
        </is>
      </c>
      <c r="C18" s="16" t="inlineStr">
        <is>
          <t>Per-item time limit per manual §Gf Band 1 spec</t>
        </is>
      </c>
      <c r="D18" s="16" t="inlineStr">
        <is>
          <t>45</t>
        </is>
      </c>
    </row>
    <row r="19" ht="36" customHeight="1">
      <c r="A19" s="88" t="inlineStr">
        <is>
          <t>displayMode</t>
        </is>
      </c>
      <c r="B19" s="5" t="inlineStr">
        <is>
          <t>Enum  image|text|mixed</t>
        </is>
      </c>
      <c r="C19" s="5" t="inlineStr">
        <is>
          <t>Stimulus rendering mode (Band 1 = image only)</t>
        </is>
      </c>
      <c r="D19" s="5" t="inlineStr">
        <is>
          <t>image</t>
        </is>
      </c>
    </row>
    <row r="20" ht="36" customHeight="1">
      <c r="A20" s="87" t="inlineStr">
        <is>
          <t>format</t>
        </is>
      </c>
      <c r="B20" s="16" t="inlineStr">
        <is>
          <t>Enum  3-choice|4-choice</t>
        </is>
      </c>
      <c r="C20" s="16" t="inlineStr">
        <is>
          <t>Response option count (Band 1 = 3-choice only)</t>
        </is>
      </c>
      <c r="D20" s="16" t="inlineStr">
        <is>
          <t>3-choice</t>
        </is>
      </c>
    </row>
    <row r="21" ht="36" customHeight="1">
      <c r="A21" s="88" t="inlineStr">
        <is>
          <t>isPractice</t>
        </is>
      </c>
      <c r="B21" s="5" t="inlineStr">
        <is>
          <t>Boolean  TRUE|FALSE</t>
        </is>
      </c>
      <c r="C21" s="5" t="inlineStr">
        <is>
          <t>TRUE = practice item (not scored, not in CAT pool)</t>
        </is>
      </c>
      <c r="D21" s="5" t="inlineStr">
        <is>
          <t>FALSE</t>
        </is>
      </c>
    </row>
    <row r="22" ht="36" customHeight="1">
      <c r="A22" s="87" t="inlineStr">
        <is>
          <t>anchorGroup</t>
        </is>
      </c>
      <c r="B22" s="16" t="inlineStr">
        <is>
          <t>String  GF_ANCHOR_B1 | NULL</t>
        </is>
      </c>
      <c r="C22" s="16" t="inlineStr">
        <is>
          <t>Equating anchor group. Anchor items appear across bands</t>
        </is>
      </c>
      <c r="D22" s="16" t="inlineStr">
        <is>
          <t>GF_ANCHOR_B1</t>
        </is>
      </c>
    </row>
    <row r="23" ht="36" customHeight="1">
      <c r="A23" s="88" t="inlineStr">
        <is>
          <t>prompt</t>
        </is>
      </c>
      <c r="B23" s="5" t="inlineStr">
        <is>
          <t>String</t>
        </is>
      </c>
      <c r="C23" s="5" t="inlineStr">
        <is>
          <t>Item stem text displayed to examinee</t>
        </is>
      </c>
      <c r="D23" s="5" t="inlineStr">
        <is>
          <t>Which shape completes the grid?</t>
        </is>
      </c>
    </row>
    <row r="24" ht="36" customHeight="1">
      <c r="A24" s="87" t="inlineStr">
        <is>
          <t>stimulus_row1</t>
        </is>
      </c>
      <c r="B24" s="16" t="inlineStr">
        <is>
          <t>String  [token] notation</t>
        </is>
      </c>
      <c r="C24" s="16" t="inlineStr">
        <is>
          <t>First row of stimulus. Tokens: [shape] or [N shape(s)]</t>
        </is>
      </c>
      <c r="D24" s="16" t="inlineStr">
        <is>
          <t>[large filled circle] | [hollow circle]</t>
        </is>
      </c>
    </row>
    <row r="25" ht="36" customHeight="1">
      <c r="A25" s="88" t="inlineStr">
        <is>
          <t>stimulus_row2</t>
        </is>
      </c>
      <c r="B25" s="5" t="inlineStr">
        <is>
          <t>String  [token] notation | NULL</t>
        </is>
      </c>
      <c r="C25" s="5" t="inlineStr">
        <is>
          <t>Second row (matrix items only). NULL for series/analogies</t>
        </is>
      </c>
      <c r="D25" s="5" t="inlineStr">
        <is>
          <t>Row 2: [filled square] | [?]</t>
        </is>
      </c>
    </row>
    <row r="26" ht="36" customHeight="1">
      <c r="A26" s="87" t="inlineStr">
        <is>
          <t>option_A/B/C</t>
        </is>
      </c>
      <c r="B26" s="16" t="inlineStr">
        <is>
          <t>String  [token] notation</t>
        </is>
      </c>
      <c r="C26" s="16" t="inlineStr">
        <is>
          <t>Answer option using approved sprite tokens only</t>
        </is>
      </c>
      <c r="D26" s="16" t="inlineStr">
        <is>
          <t>[small hollow triangle]</t>
        </is>
      </c>
    </row>
    <row r="27" ht="36" customHeight="1">
      <c r="A27" s="88" t="inlineStr">
        <is>
          <t>correctAnswer</t>
        </is>
      </c>
      <c r="B27" s="5" t="inlineStr">
        <is>
          <t>Enum  A|B|C</t>
        </is>
      </c>
      <c r="C27" s="5" t="inlineStr">
        <is>
          <t>Correct answer letter</t>
        </is>
      </c>
      <c r="D27" s="5" t="inlineStr">
        <is>
          <t>B</t>
        </is>
      </c>
    </row>
    <row r="28" ht="36" customHeight="1">
      <c r="A28" s="87" t="inlineStr">
        <is>
          <t>correctIndex</t>
        </is>
      </c>
      <c r="B28" s="16" t="inlineStr">
        <is>
          <t>Int  1|2|3</t>
        </is>
      </c>
      <c r="C28" s="16" t="inlineStr">
        <is>
          <t>Correct answer index (1=A, 2=B, 3=C) — target ~21 each</t>
        </is>
      </c>
      <c r="D28" s="16" t="inlineStr">
        <is>
          <t>2</t>
        </is>
      </c>
    </row>
    <row r="29" ht="36" customHeight="1">
      <c r="A29" s="88" t="inlineStr">
        <is>
          <t>distractor_rationale</t>
        </is>
      </c>
      <c r="B29" s="5" t="inlineStr">
        <is>
          <t>String</t>
        </is>
      </c>
      <c r="C29" s="5" t="inlineStr">
        <is>
          <t>Why each wrong option is a plausible error</t>
        </is>
      </c>
      <c r="D29" s="5" t="inlineStr">
        <is>
          <t>B=size wrong; C=shading wrong</t>
        </is>
      </c>
    </row>
    <row r="30" ht="36" customHeight="1">
      <c r="A30" s="87" t="inlineStr">
        <is>
          <t>enemyItems</t>
        </is>
      </c>
      <c r="B30" s="16" t="inlineStr">
        <is>
          <t>String  semicolon-separated IDs | NULL</t>
        </is>
      </c>
      <c r="C30" s="16" t="inlineStr">
        <is>
          <t>Hard/soft enemies. CAT engine prevents co-appearance</t>
        </is>
      </c>
      <c r="D30" s="16" t="inlineStr">
        <is>
          <t>Gf_B1_043;Gf_B1_048</t>
        </is>
      </c>
    </row>
    <row r="31" ht="36" customHeight="1">
      <c r="A31" s="88" t="inlineStr">
        <is>
          <t>exposureMax</t>
        </is>
      </c>
      <c r="B31" s="5" t="inlineStr">
        <is>
          <t>Float  0.20 (operational) | 0.99 (practice)</t>
        </is>
      </c>
      <c r="C31" s="5" t="inlineStr">
        <is>
          <t>Max proportion of sessions item may appear in (Sympson-Hetter)</t>
        </is>
      </c>
      <c r="D31" s="5" t="inlineStr">
        <is>
          <t>0.20</t>
        </is>
      </c>
    </row>
    <row r="32" ht="36" customHeight="1">
      <c r="A32" s="87" t="inlineStr">
        <is>
          <t>contentConstraint</t>
        </is>
      </c>
      <c r="B32" s="16" t="inlineStr">
        <is>
          <t>Enum  induction|quantitative_reasoning</t>
        </is>
      </c>
      <c r="C32" s="16" t="inlineStr">
        <is>
          <t>Narrow-ability category for CAT content balancing</t>
        </is>
      </c>
      <c r="D32" s="16" t="inlineStr">
        <is>
          <t>induction</t>
        </is>
      </c>
    </row>
    <row r="33" ht="36" customHeight="1">
      <c r="A33" s="88" t="inlineStr">
        <is>
          <t>difSexStatus</t>
        </is>
      </c>
      <c r="B33" s="5" t="inlineStr">
        <is>
          <t>Enum  untested|no_dif|dif_uniform|dif_nonuniform|removed</t>
        </is>
      </c>
      <c r="C33" s="5" t="inlineStr">
        <is>
          <t>Sex DIF status. Gf Band 1: low risk; all set to no_dif pre-pilot</t>
        </is>
      </c>
      <c r="D33" s="5" t="inlineStr">
        <is>
          <t>no_dif</t>
        </is>
      </c>
    </row>
    <row r="34" ht="36" customHeight="1">
      <c r="A34" s="87" t="inlineStr">
        <is>
          <t>difSesStatus</t>
        </is>
      </c>
      <c r="B34" s="16" t="inlineStr">
        <is>
          <t>Enum  untested|no_dif|dif_uniform|dif_nonuniform|removed</t>
        </is>
      </c>
      <c r="C34" s="16" t="inlineStr">
        <is>
          <t>SES DIF status. All untested pre-pilot per manual §DIF</t>
        </is>
      </c>
      <c r="D34" s="16" t="inlineStr">
        <is>
          <t>untested</t>
        </is>
      </c>
    </row>
    <row r="35" ht="36" customHeight="1">
      <c r="A35" s="88" t="inlineStr">
        <is>
          <t>pilotN</t>
        </is>
      </c>
      <c r="B35" s="5" t="inlineStr">
        <is>
          <t>Int</t>
        </is>
      </c>
      <c r="C35" s="5" t="inlineStr">
        <is>
          <t>Sample size in calibration pilot. 0 = not yet piloted</t>
        </is>
      </c>
      <c r="D35" s="5" t="inlineStr">
        <is>
          <t>0</t>
        </is>
      </c>
    </row>
    <row r="36" ht="36" customHeight="1">
      <c r="A36" s="87" t="inlineStr">
        <is>
          <t>changeLog</t>
        </is>
      </c>
      <c r="B36" s="16" t="inlineStr">
        <is>
          <t>String  tag(s)</t>
        </is>
      </c>
      <c r="C36" s="16" t="inlineStr">
        <is>
          <t>v1.0→v2.0 change tag. UNCHANGED|RENDER_FIX|VALIDITY_FIX|SPRITE_FIX|FLOOR_FIX|CORRECT_IDX|ENEMY_ADDED|ANCHOR</t>
        </is>
      </c>
      <c r="D36" s="16" t="inlineStr">
        <is>
          <t>RENDER_FIX</t>
        </is>
      </c>
    </row>
    <row r="37" ht="36" customHeight="1">
      <c r="A37" s="88" t="inlineStr">
        <is>
          <t>notes</t>
        </is>
      </c>
      <c r="B37" s="5" t="inlineStr">
        <is>
          <t>String</t>
        </is>
      </c>
      <c r="C37" s="5" t="inlineStr">
        <is>
          <t>Design notes, render specifications, enemy rationale</t>
        </is>
      </c>
      <c r="D37" s="5" t="inlineStr">
        <is>
          <t>RQ: Rule ×4. Max=8. RENDER NOTE: 2×4 dot grid.</t>
        </is>
      </c>
    </row>
    <row r="38" ht="36" customHeight="1">
      <c r="A38" s="91" t="inlineStr"/>
      <c r="B38" s="92" t="inlineStr"/>
      <c r="C38" s="92" t="inlineStr"/>
      <c r="D38" s="92" t="inlineStr"/>
    </row>
    <row r="39" ht="36" customHeight="1">
      <c r="A39" s="88" t="inlineStr">
        <is>
          <t>APPROVED SHAPE TOKENS</t>
        </is>
      </c>
      <c r="B39" s="5" t="inlineStr">
        <is>
          <t>geometric-shapes-sprite.svg</t>
        </is>
      </c>
      <c r="C39" s="5" t="inlineStr">
        <is>
          <t>circle · square · triangle · diamond · pentagon · hexagon · star · oval · arrow · cross · L-shape  (ONLY these tokens permitted in Band 1)</t>
        </is>
      </c>
      <c r="D39" s="5" t="inlineStr"/>
    </row>
    <row r="40" ht="36" customHeight="1">
      <c r="A40" s="87" t="inlineStr">
        <is>
          <t>SIZE LEVELS (canonical)</t>
        </is>
      </c>
      <c r="B40" s="16" t="inlineStr">
        <is>
          <t>tiny · small · medium · large · XL</t>
        </is>
      </c>
      <c r="C40" s="16" t="inlineStr">
        <is>
          <t>5 canonical size tokens. DO NOT use: 'very large', 'huge', 'even smaller', 'micro'</t>
        </is>
      </c>
      <c r="D40" s="16" t="inlineStr"/>
    </row>
    <row r="41" ht="36" customHeight="1">
      <c r="A41" s="88" t="inlineStr">
        <is>
          <t>SHADING LEVELS</t>
        </is>
      </c>
      <c r="B41" s="5" t="inlineStr">
        <is>
          <t>hollow (outline) · half-filled · filled (solid)</t>
        </is>
      </c>
      <c r="C41" s="5" t="inlineStr">
        <is>
          <t>3 shading levels. Quarter-fill steps not permitted (rendering unreliable on small screens)</t>
        </is>
      </c>
      <c r="D41" s="5" t="inlineStr"/>
    </row>
    <row r="42" ht="36" customHeight="1">
      <c r="A42" s="87" t="inlineStr">
        <is>
          <t>RENDER LIMIT</t>
        </is>
      </c>
      <c r="B42" s="16" t="inlineStr">
        <is>
          <t>Max 8 discrete items per cell</t>
        </is>
      </c>
      <c r="C42" s="16" t="inlineStr">
        <is>
          <t>8 items = 2×4 grid. 9 items = 3×3 grid (acceptable). &gt;10 = UNRENDERABLE</t>
        </is>
      </c>
      <c r="D42" s="16" t="inlineStr"/>
    </row>
    <row r="43" ht="36" customHeight="1">
      <c r="A43" s="88" t="inlineStr">
        <is>
          <t>COUNT GRID SPECS</t>
        </is>
      </c>
      <c r="B43" s="5" t="inlineStr">
        <is>
          <t>4 dots=2×2 · 6=2×3 · 8=2×4 · 9=3×3</t>
        </is>
      </c>
      <c r="C43" s="5" t="inlineStr">
        <is>
          <t>SVG renderer must be told the grid layout explicitly in render spec</t>
        </is>
      </c>
      <c r="D43" s="5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2026-03-12T18:52:50Z</dcterms:created>
  <dcterms:modified xmlns:dcterms="http://purl.org/dc/terms/" xmlns:xsi="http://www.w3.org/2001/XMLSchema-instance" xsi:type="dcterms:W3CDTF">2026-03-12T18:52:51Z</dcterms:modified>
</cp:coreProperties>
</file>